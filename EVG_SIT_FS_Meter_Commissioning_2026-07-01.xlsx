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voltano-my.sharepoint.com/personal/ruan_vh_voltano_com/Documents/Desktop/Voltano/Clients/Evergreen/Evergreen Sitari/Site initialization/Freestanding/EVG_FS_Project/"/>
    </mc:Choice>
  </mc:AlternateContent>
  <xr:revisionPtr revIDLastSave="4099" documentId="8_{C97FC332-2E41-401D-B97C-40A4EC775E62}" xr6:coauthVersionLast="47" xr6:coauthVersionMax="47" xr10:uidLastSave="{13EF237D-A6D5-4AE4-8980-6828E2996946}"/>
  <bookViews>
    <workbookView xWindow="88080" yWindow="-120" windowWidth="29040" windowHeight="15720" firstSheet="1" activeTab="1" xr2:uid="{00000000-000D-0000-FFFF-FFFF00000000}"/>
  </bookViews>
  <sheets>
    <sheet name="FS Elec" sheetId="4" r:id="rId1"/>
    <sheet name="FS Water" sheetId="1" r:id="rId2"/>
    <sheet name="Aprt Elec" sheetId="8" r:id="rId3"/>
    <sheet name="Aprt Water" sheetId="9" r:id="rId4"/>
    <sheet name="Kiosk Plan" sheetId="5" r:id="rId5"/>
    <sheet name="Temp ME162 open and closings" sheetId="2" r:id="rId6"/>
    <sheet name="Replaced meters" sheetId="10" r:id="rId7"/>
  </sheets>
  <definedNames>
    <definedName name="_xlnm._FilterDatabase" localSheetId="0" hidden="1">'FS Elec'!$A$1:$U$192</definedName>
    <definedName name="_xlnm._FilterDatabase" localSheetId="1" hidden="1">'FS Water'!$A$1:$T$193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2" l="1"/>
  <c r="H52" i="2"/>
  <c r="H22" i="2" l="1"/>
  <c r="H55" i="2"/>
  <c r="H54" i="2"/>
  <c r="E31" i="5"/>
  <c r="D30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" i="5"/>
  <c r="G30" i="5"/>
  <c r="I29" i="5"/>
  <c r="H29" i="5"/>
  <c r="I28" i="5"/>
  <c r="H28" i="5"/>
  <c r="I27" i="5"/>
  <c r="H27" i="5"/>
  <c r="F29" i="5"/>
  <c r="F28" i="5"/>
  <c r="I26" i="5"/>
  <c r="H26" i="5"/>
  <c r="I25" i="5"/>
  <c r="H25" i="5"/>
  <c r="I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F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H38" i="2"/>
  <c r="H36" i="2"/>
  <c r="H34" i="2"/>
  <c r="H32" i="2"/>
  <c r="H28" i="2"/>
  <c r="H30" i="2"/>
  <c r="H27" i="2"/>
  <c r="H26" i="2"/>
  <c r="H25" i="2"/>
  <c r="H23" i="2"/>
  <c r="H24" i="2"/>
  <c r="H14" i="2"/>
  <c r="H16" i="2"/>
  <c r="H18" i="2"/>
  <c r="H19" i="2"/>
  <c r="H21" i="2"/>
  <c r="H17" i="2"/>
  <c r="H20" i="2"/>
  <c r="H15" i="2"/>
  <c r="H5" i="2"/>
  <c r="H6" i="2"/>
  <c r="H8" i="2"/>
  <c r="H10" i="2"/>
  <c r="H12" i="2"/>
  <c r="H13" i="2"/>
  <c r="H11" i="2"/>
  <c r="H9" i="2"/>
  <c r="H7" i="2"/>
  <c r="H3" i="2"/>
  <c r="H4" i="2"/>
  <c r="H29" i="2"/>
  <c r="H31" i="2"/>
  <c r="H33" i="2"/>
  <c r="H35" i="2"/>
  <c r="H37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3" i="2"/>
  <c r="H2" i="2"/>
  <c r="E30" i="5" l="1"/>
  <c r="F30" i="5"/>
  <c r="H30" i="5"/>
  <c r="H31" i="5" s="1"/>
  <c r="I30" i="5"/>
</calcChain>
</file>

<file path=xl/sharedStrings.xml><?xml version="1.0" encoding="utf-8"?>
<sst xmlns="http://schemas.openxmlformats.org/spreadsheetml/2006/main" count="5138" uniqueCount="1319">
  <si>
    <t xml:space="preserve">Stand Number </t>
  </si>
  <si>
    <t>Section</t>
  </si>
  <si>
    <t>Meter Serial</t>
  </si>
  <si>
    <t>Parent Meter</t>
  </si>
  <si>
    <t>Manufacturer</t>
  </si>
  <si>
    <t>Meter Model</t>
  </si>
  <si>
    <t xml:space="preserve">Connection size </t>
  </si>
  <si>
    <t xml:space="preserve">Phase connected </t>
  </si>
  <si>
    <t xml:space="preserve">Kiosk Number </t>
  </si>
  <si>
    <t>Opening reading [kWh]</t>
  </si>
  <si>
    <t xml:space="preserve">Meter Commission Date </t>
  </si>
  <si>
    <t xml:space="preserve">AMR Installed </t>
  </si>
  <si>
    <t>EB Port</t>
  </si>
  <si>
    <t>WBHO Subsection</t>
  </si>
  <si>
    <t>Snag Date 1</t>
  </si>
  <si>
    <t>Snag Date 2</t>
  </si>
  <si>
    <t>Snag Date 3</t>
  </si>
  <si>
    <t>Snag Date 4</t>
  </si>
  <si>
    <t>046</t>
  </si>
  <si>
    <t>A3</t>
  </si>
  <si>
    <t>Hexing</t>
  </si>
  <si>
    <t>HXP100DII</t>
  </si>
  <si>
    <t>1x80A</t>
  </si>
  <si>
    <t>R</t>
  </si>
  <si>
    <t>10EVE2</t>
  </si>
  <si>
    <t>Section 13</t>
  </si>
  <si>
    <t>047</t>
  </si>
  <si>
    <t>B3</t>
  </si>
  <si>
    <t>Section 10</t>
  </si>
  <si>
    <t>048</t>
  </si>
  <si>
    <t>W</t>
  </si>
  <si>
    <t>049</t>
  </si>
  <si>
    <t>050</t>
  </si>
  <si>
    <t>B</t>
  </si>
  <si>
    <t>051</t>
  </si>
  <si>
    <t>140</t>
  </si>
  <si>
    <t>10EVE3</t>
  </si>
  <si>
    <t>Section 25</t>
  </si>
  <si>
    <t>141</t>
  </si>
  <si>
    <t>Section 24</t>
  </si>
  <si>
    <t>142</t>
  </si>
  <si>
    <t>143</t>
  </si>
  <si>
    <t>144</t>
  </si>
  <si>
    <t>145</t>
  </si>
  <si>
    <t>147</t>
  </si>
  <si>
    <t>146</t>
  </si>
  <si>
    <t>11EVE3</t>
  </si>
  <si>
    <t>148</t>
  </si>
  <si>
    <t>149</t>
  </si>
  <si>
    <t>150</t>
  </si>
  <si>
    <t>151</t>
  </si>
  <si>
    <t>152</t>
  </si>
  <si>
    <t>153</t>
  </si>
  <si>
    <t>154</t>
  </si>
  <si>
    <t>155</t>
  </si>
  <si>
    <t>1EVE1</t>
  </si>
  <si>
    <t>Section 16</t>
  </si>
  <si>
    <t>156</t>
  </si>
  <si>
    <t>157</t>
  </si>
  <si>
    <t>158</t>
  </si>
  <si>
    <t>159</t>
  </si>
  <si>
    <t>160</t>
  </si>
  <si>
    <t>161</t>
  </si>
  <si>
    <t>162</t>
  </si>
  <si>
    <t>182</t>
  </si>
  <si>
    <t>A2</t>
  </si>
  <si>
    <t>1EVE2</t>
  </si>
  <si>
    <t>Section 7</t>
  </si>
  <si>
    <t>183</t>
  </si>
  <si>
    <t>Section 6</t>
  </si>
  <si>
    <t>184</t>
  </si>
  <si>
    <t>185</t>
  </si>
  <si>
    <t>186</t>
  </si>
  <si>
    <t>187</t>
  </si>
  <si>
    <t>122</t>
  </si>
  <si>
    <t>1EVE3</t>
  </si>
  <si>
    <t>Section 22</t>
  </si>
  <si>
    <t>124</t>
  </si>
  <si>
    <t>125</t>
  </si>
  <si>
    <t>A1</t>
  </si>
  <si>
    <t>Section 1</t>
  </si>
  <si>
    <t>126</t>
  </si>
  <si>
    <t>127</t>
  </si>
  <si>
    <t>128</t>
  </si>
  <si>
    <t>129</t>
  </si>
  <si>
    <t>130</t>
  </si>
  <si>
    <t>131</t>
  </si>
  <si>
    <t>163</t>
  </si>
  <si>
    <t>2EVE1</t>
  </si>
  <si>
    <t>Section 15</t>
  </si>
  <si>
    <t>164</t>
  </si>
  <si>
    <t>165</t>
  </si>
  <si>
    <t>166</t>
  </si>
  <si>
    <t>167</t>
  </si>
  <si>
    <t>168</t>
  </si>
  <si>
    <t>169</t>
  </si>
  <si>
    <t>076</t>
  </si>
  <si>
    <t>2EVE2</t>
  </si>
  <si>
    <t>Section 5</t>
  </si>
  <si>
    <t>077</t>
  </si>
  <si>
    <t>078</t>
  </si>
  <si>
    <t>079</t>
  </si>
  <si>
    <t>188</t>
  </si>
  <si>
    <t>189</t>
  </si>
  <si>
    <t>190</t>
  </si>
  <si>
    <t>112</t>
  </si>
  <si>
    <t>2EVE3</t>
  </si>
  <si>
    <t>Section 21</t>
  </si>
  <si>
    <t>114</t>
  </si>
  <si>
    <t>116</t>
  </si>
  <si>
    <t>117</t>
  </si>
  <si>
    <t>118</t>
  </si>
  <si>
    <t>119</t>
  </si>
  <si>
    <t>120</t>
  </si>
  <si>
    <t>121</t>
  </si>
  <si>
    <t>123</t>
  </si>
  <si>
    <t>001</t>
  </si>
  <si>
    <t>3EVE1</t>
  </si>
  <si>
    <t>Section 20</t>
  </si>
  <si>
    <t>002</t>
  </si>
  <si>
    <t>003</t>
  </si>
  <si>
    <t>Section 18</t>
  </si>
  <si>
    <t>004</t>
  </si>
  <si>
    <t>005</t>
  </si>
  <si>
    <t>006</t>
  </si>
  <si>
    <t>007</t>
  </si>
  <si>
    <t>008</t>
  </si>
  <si>
    <t>009</t>
  </si>
  <si>
    <t>068</t>
  </si>
  <si>
    <t>3EVE2</t>
  </si>
  <si>
    <t>Section 12</t>
  </si>
  <si>
    <t>069</t>
  </si>
  <si>
    <t>Section 9</t>
  </si>
  <si>
    <t>070</t>
  </si>
  <si>
    <t>071</t>
  </si>
  <si>
    <t>072</t>
  </si>
  <si>
    <t>073</t>
  </si>
  <si>
    <t>074</t>
  </si>
  <si>
    <t>075</t>
  </si>
  <si>
    <t>104</t>
  </si>
  <si>
    <t>3EVE3</t>
  </si>
  <si>
    <t>106</t>
  </si>
  <si>
    <t>107</t>
  </si>
  <si>
    <t>Section 2</t>
  </si>
  <si>
    <t>108</t>
  </si>
  <si>
    <t>109</t>
  </si>
  <si>
    <t>110</t>
  </si>
  <si>
    <t>111</t>
  </si>
  <si>
    <t>113</t>
  </si>
  <si>
    <t>115</t>
  </si>
  <si>
    <t>010</t>
  </si>
  <si>
    <t>4EVE1</t>
  </si>
  <si>
    <t>011</t>
  </si>
  <si>
    <t>012</t>
  </si>
  <si>
    <t>013</t>
  </si>
  <si>
    <t>014</t>
  </si>
  <si>
    <t>015</t>
  </si>
  <si>
    <t>016</t>
  </si>
  <si>
    <t>017</t>
  </si>
  <si>
    <t>Section 17</t>
  </si>
  <si>
    <t>018</t>
  </si>
  <si>
    <t>058</t>
  </si>
  <si>
    <t>4EVE2</t>
  </si>
  <si>
    <t>060</t>
  </si>
  <si>
    <t>061</t>
  </si>
  <si>
    <t>062</t>
  </si>
  <si>
    <t>063</t>
  </si>
  <si>
    <t>064</t>
  </si>
  <si>
    <t>065</t>
  </si>
  <si>
    <t>066</t>
  </si>
  <si>
    <t>067</t>
  </si>
  <si>
    <t>097</t>
  </si>
  <si>
    <t>4EVE3</t>
  </si>
  <si>
    <t>098</t>
  </si>
  <si>
    <t>B2</t>
  </si>
  <si>
    <t>099</t>
  </si>
  <si>
    <t>100</t>
  </si>
  <si>
    <t>101</t>
  </si>
  <si>
    <t>102</t>
  </si>
  <si>
    <t>103</t>
  </si>
  <si>
    <t>105</t>
  </si>
  <si>
    <t>019</t>
  </si>
  <si>
    <t>5EVE1</t>
  </si>
  <si>
    <t>020</t>
  </si>
  <si>
    <t xml:space="preserve">Section 19 </t>
  </si>
  <si>
    <t>021</t>
  </si>
  <si>
    <t>022</t>
  </si>
  <si>
    <t>023</t>
  </si>
  <si>
    <t>024</t>
  </si>
  <si>
    <t>052</t>
  </si>
  <si>
    <t>5EVE2</t>
  </si>
  <si>
    <t>053</t>
  </si>
  <si>
    <t>054</t>
  </si>
  <si>
    <t>055</t>
  </si>
  <si>
    <t>056</t>
  </si>
  <si>
    <t>057</t>
  </si>
  <si>
    <t>059</t>
  </si>
  <si>
    <t>092</t>
  </si>
  <si>
    <t>5EVE3</t>
  </si>
  <si>
    <t>093</t>
  </si>
  <si>
    <t>094</t>
  </si>
  <si>
    <t>095</t>
  </si>
  <si>
    <t>096</t>
  </si>
  <si>
    <t>025</t>
  </si>
  <si>
    <t>6EVE1</t>
  </si>
  <si>
    <t>026</t>
  </si>
  <si>
    <t>027</t>
  </si>
  <si>
    <t>028</t>
  </si>
  <si>
    <t>029</t>
  </si>
  <si>
    <t>030</t>
  </si>
  <si>
    <t>031</t>
  </si>
  <si>
    <t>032</t>
  </si>
  <si>
    <t>033</t>
  </si>
  <si>
    <t>176</t>
  </si>
  <si>
    <t>6EVE2</t>
  </si>
  <si>
    <t>177</t>
  </si>
  <si>
    <t>178</t>
  </si>
  <si>
    <t>179</t>
  </si>
  <si>
    <t>180</t>
  </si>
  <si>
    <t>181</t>
  </si>
  <si>
    <t>170</t>
  </si>
  <si>
    <t>7EVE2</t>
  </si>
  <si>
    <t>Section 8</t>
  </si>
  <si>
    <t>171</t>
  </si>
  <si>
    <t>172</t>
  </si>
  <si>
    <t>173</t>
  </si>
  <si>
    <t>174</t>
  </si>
  <si>
    <t>175</t>
  </si>
  <si>
    <t>089</t>
  </si>
  <si>
    <t>7EVE3</t>
  </si>
  <si>
    <t>Section 3</t>
  </si>
  <si>
    <t>090</t>
  </si>
  <si>
    <t>091</t>
  </si>
  <si>
    <t>034</t>
  </si>
  <si>
    <t>8EVE2</t>
  </si>
  <si>
    <t>Section 14</t>
  </si>
  <si>
    <t>035</t>
  </si>
  <si>
    <t>Section 11</t>
  </si>
  <si>
    <t>036</t>
  </si>
  <si>
    <t>037</t>
  </si>
  <si>
    <t>080</t>
  </si>
  <si>
    <t>8EVE3</t>
  </si>
  <si>
    <t>Section 4</t>
  </si>
  <si>
    <t>081</t>
  </si>
  <si>
    <t>082</t>
  </si>
  <si>
    <t>083</t>
  </si>
  <si>
    <t>084</t>
  </si>
  <si>
    <t>085</t>
  </si>
  <si>
    <t>086</t>
  </si>
  <si>
    <t>087</t>
  </si>
  <si>
    <t>088</t>
  </si>
  <si>
    <t>038</t>
  </si>
  <si>
    <t>9EVE2</t>
  </si>
  <si>
    <t>039</t>
  </si>
  <si>
    <t>040</t>
  </si>
  <si>
    <t>041</t>
  </si>
  <si>
    <t>042</t>
  </si>
  <si>
    <t>043</t>
  </si>
  <si>
    <t>044</t>
  </si>
  <si>
    <t>045</t>
  </si>
  <si>
    <t>132</t>
  </si>
  <si>
    <t>9EVE3</t>
  </si>
  <si>
    <t>Section 23</t>
  </si>
  <si>
    <t>133</t>
  </si>
  <si>
    <t>134</t>
  </si>
  <si>
    <t>135</t>
  </si>
  <si>
    <t>136</t>
  </si>
  <si>
    <t>137</t>
  </si>
  <si>
    <t>138</t>
  </si>
  <si>
    <t>139</t>
  </si>
  <si>
    <t xml:space="preserve">Clubhouse </t>
  </si>
  <si>
    <t>Iskra</t>
  </si>
  <si>
    <t>MT174D</t>
  </si>
  <si>
    <t>3x100A</t>
  </si>
  <si>
    <t>RWB</t>
  </si>
  <si>
    <t>MS2</t>
  </si>
  <si>
    <t>Meter serial number</t>
  </si>
  <si>
    <t>Connection size</t>
  </si>
  <si>
    <t>Opening readings</t>
  </si>
  <si>
    <t xml:space="preserve">Meter Commissioning Date </t>
  </si>
  <si>
    <t>AMR Commissioned</t>
  </si>
  <si>
    <t>Faulty Meter</t>
  </si>
  <si>
    <t>Faulty Replaced</t>
  </si>
  <si>
    <t>Replacement Date</t>
  </si>
  <si>
    <t>Precision</t>
  </si>
  <si>
    <t>Axioma</t>
  </si>
  <si>
    <t>20mm</t>
  </si>
  <si>
    <t>9993262</t>
  </si>
  <si>
    <t>10192065</t>
  </si>
  <si>
    <t>10192049</t>
  </si>
  <si>
    <t>10192051</t>
  </si>
  <si>
    <t>10192048</t>
  </si>
  <si>
    <t>10192052</t>
  </si>
  <si>
    <t>10192061</t>
  </si>
  <si>
    <t>9993241</t>
  </si>
  <si>
    <t>10216100</t>
  </si>
  <si>
    <t>9993239</t>
  </si>
  <si>
    <t>9993254</t>
  </si>
  <si>
    <t>10192053</t>
  </si>
  <si>
    <t>10192058</t>
  </si>
  <si>
    <t>10216099</t>
  </si>
  <si>
    <t>9993267</t>
  </si>
  <si>
    <t>10192050</t>
  </si>
  <si>
    <t>10192026</t>
  </si>
  <si>
    <t>10192066</t>
  </si>
  <si>
    <t>9993263</t>
  </si>
  <si>
    <t>10192023</t>
  </si>
  <si>
    <t>9993269</t>
  </si>
  <si>
    <t>10192060</t>
  </si>
  <si>
    <t>10192024</t>
  </si>
  <si>
    <t>9907505</t>
  </si>
  <si>
    <t>9993264</t>
  </si>
  <si>
    <t>9993268</t>
  </si>
  <si>
    <t>9993270</t>
  </si>
  <si>
    <t>10192017</t>
  </si>
  <si>
    <t>10192021</t>
  </si>
  <si>
    <t>9993250</t>
  </si>
  <si>
    <t>10192022</t>
  </si>
  <si>
    <t>9993255</t>
  </si>
  <si>
    <t>10192012</t>
  </si>
  <si>
    <t>10192007</t>
  </si>
  <si>
    <t>9897925</t>
  </si>
  <si>
    <t>10172133</t>
  </si>
  <si>
    <t>9897893</t>
  </si>
  <si>
    <t>9897897</t>
  </si>
  <si>
    <t>9897987</t>
  </si>
  <si>
    <t>10192062</t>
  </si>
  <si>
    <t>10172251</t>
  </si>
  <si>
    <t>10172246</t>
  </si>
  <si>
    <t>10172135</t>
  </si>
  <si>
    <t>10192014</t>
  </si>
  <si>
    <t>10172247</t>
  </si>
  <si>
    <t>9897995</t>
  </si>
  <si>
    <t>10172258</t>
  </si>
  <si>
    <t>9993247</t>
  </si>
  <si>
    <t>10172250</t>
  </si>
  <si>
    <t>10172261</t>
  </si>
  <si>
    <t>9897994</t>
  </si>
  <si>
    <t>10192047</t>
  </si>
  <si>
    <t>10192010</t>
  </si>
  <si>
    <t>9898044</t>
  </si>
  <si>
    <t>10192016</t>
  </si>
  <si>
    <t>9897906</t>
  </si>
  <si>
    <t>9897997</t>
  </si>
  <si>
    <t>9898005</t>
  </si>
  <si>
    <t>9897913</t>
  </si>
  <si>
    <t>9897993</t>
  </si>
  <si>
    <t>9897907</t>
  </si>
  <si>
    <t>9897911</t>
  </si>
  <si>
    <t>9993259</t>
  </si>
  <si>
    <t>9897908</t>
  </si>
  <si>
    <t>10191967</t>
  </si>
  <si>
    <t>54554431</t>
  </si>
  <si>
    <t>Kamstrup</t>
  </si>
  <si>
    <t>FlowIQ2200</t>
  </si>
  <si>
    <t>10192063</t>
  </si>
  <si>
    <t>10192057</t>
  </si>
  <si>
    <t>10192056</t>
  </si>
  <si>
    <t>10192055</t>
  </si>
  <si>
    <t>10191968</t>
  </si>
  <si>
    <t>10192025</t>
  </si>
  <si>
    <t>10192009</t>
  </si>
  <si>
    <t>10192018</t>
  </si>
  <si>
    <t>10192205</t>
  </si>
  <si>
    <t>10192011</t>
  </si>
  <si>
    <t xml:space="preserve">Lifestyle Cetre Meter 1 </t>
  </si>
  <si>
    <t>10228692</t>
  </si>
  <si>
    <t>25mm</t>
  </si>
  <si>
    <t>Lifestyle Cetre Meter 2</t>
  </si>
  <si>
    <t>9279142</t>
  </si>
  <si>
    <t>32mm</t>
  </si>
  <si>
    <t>Apartment Block</t>
  </si>
  <si>
    <t>Stand</t>
  </si>
  <si>
    <t xml:space="preserve">Elect meter serial </t>
  </si>
  <si>
    <t>Parent DB</t>
  </si>
  <si>
    <t xml:space="preserve">AMR installed </t>
  </si>
  <si>
    <t xml:space="preserve">Block A </t>
  </si>
  <si>
    <t>Aprt BL A/00/001</t>
  </si>
  <si>
    <t>DB-GA-1</t>
  </si>
  <si>
    <t>Aprt BL A/00/002</t>
  </si>
  <si>
    <t>Aprt BL A/00/003</t>
  </si>
  <si>
    <t>Aprt BL A/00/004</t>
  </si>
  <si>
    <t>Aprt BL A/00/005</t>
  </si>
  <si>
    <t>Aprt BL A/00/006</t>
  </si>
  <si>
    <t>Aprt BL A/00/007</t>
  </si>
  <si>
    <t>Aprt BL A/00/008</t>
  </si>
  <si>
    <t>Aprt BL A/00/009</t>
  </si>
  <si>
    <t>Aprt BL A/00/010</t>
  </si>
  <si>
    <t>Aprt BL A/00/011</t>
  </si>
  <si>
    <t>Aprt BL A/00/012</t>
  </si>
  <si>
    <t>Aprt BL A/00/013</t>
  </si>
  <si>
    <t>Aprt BL A/00/014</t>
  </si>
  <si>
    <t>Aprt BL A/00/015</t>
  </si>
  <si>
    <t>DB-GA-2</t>
  </si>
  <si>
    <t>Aprt BL A/00/016</t>
  </si>
  <si>
    <t>Aprt BL A/00/017</t>
  </si>
  <si>
    <t>Aprt BL A/00/018</t>
  </si>
  <si>
    <t>Aprt BL A/00/019</t>
  </si>
  <si>
    <t>Aprt BL A/00/020</t>
  </si>
  <si>
    <t>Aprt BL A/00/023</t>
  </si>
  <si>
    <t>DB-GA-3</t>
  </si>
  <si>
    <t>Aprt BL A/00/024</t>
  </si>
  <si>
    <t>Aprt BL A/00/025</t>
  </si>
  <si>
    <t>Aprt BL A/00/026</t>
  </si>
  <si>
    <t>Aprt BL A/00/027</t>
  </si>
  <si>
    <t>Aprt BL A/00/028</t>
  </si>
  <si>
    <t>Aprt BL A/00/029</t>
  </si>
  <si>
    <t>DB-GA-4</t>
  </si>
  <si>
    <t>Aprt BL A/00/030</t>
  </si>
  <si>
    <t>Aprt BL A/00/031</t>
  </si>
  <si>
    <t>Aprt BL A/00/032</t>
  </si>
  <si>
    <t>Aprt BL A/00/033</t>
  </si>
  <si>
    <t>Aprt BL A/00/034</t>
  </si>
  <si>
    <t>Aprt BL A/00/035</t>
  </si>
  <si>
    <t>Aprt BL A/00/036</t>
  </si>
  <si>
    <t>Aprt BL A/00/037</t>
  </si>
  <si>
    <t>Aprt BL A/00/038</t>
  </si>
  <si>
    <t>Aprt BL A/00/039</t>
  </si>
  <si>
    <t>Aprt BL A/00/040</t>
  </si>
  <si>
    <t>Aprt BL A/00/041</t>
  </si>
  <si>
    <t>Aprt BL A/00/042</t>
  </si>
  <si>
    <t>Aprt BL A/01/101</t>
  </si>
  <si>
    <t>DB-1A-1</t>
  </si>
  <si>
    <t>Aprt BL A/01/102</t>
  </si>
  <si>
    <t>Aprt BL A/01/103</t>
  </si>
  <si>
    <t>Aprt BL A/01/104</t>
  </si>
  <si>
    <t>Aprt BL A/01/105</t>
  </si>
  <si>
    <t>Aprt BL A/01/106</t>
  </si>
  <si>
    <t>Aprt BL A/01/107</t>
  </si>
  <si>
    <t>Aprt BL A/01/108</t>
  </si>
  <si>
    <t>Aprt BL A/01/109</t>
  </si>
  <si>
    <t>Aprt BL A/01/110</t>
  </si>
  <si>
    <t>Aprt BL A/01/111</t>
  </si>
  <si>
    <t>Aprt BL A/01/112</t>
  </si>
  <si>
    <t>Aprt BL A/01/113</t>
  </si>
  <si>
    <t>Aprt BL A/01/114</t>
  </si>
  <si>
    <t>Aprt BL A/01/115</t>
  </si>
  <si>
    <t>DB-1A-2</t>
  </si>
  <si>
    <t>Aprt BL A/01/116</t>
  </si>
  <si>
    <t>Aprt BL A/01/117</t>
  </si>
  <si>
    <t>Aprt BL A/01/118</t>
  </si>
  <si>
    <t>Aprt BL A/01/119</t>
  </si>
  <si>
    <t>Aprt BL A/01/120</t>
  </si>
  <si>
    <t>Aprt BL A/01/121</t>
  </si>
  <si>
    <t>Aprt BL A/01/122</t>
  </si>
  <si>
    <t>Aprt BL A/01/123</t>
  </si>
  <si>
    <t>DB-1A-3</t>
  </si>
  <si>
    <t>Aprt BL A/01/124</t>
  </si>
  <si>
    <t>Aprt BL A/01/125</t>
  </si>
  <si>
    <t>Aprt BL A/01/126</t>
  </si>
  <si>
    <t>Aprt BL A/01/127</t>
  </si>
  <si>
    <t>Aprt BL A/01/128</t>
  </si>
  <si>
    <t>Aprt BL A/01/129</t>
  </si>
  <si>
    <t>DB-1A-4</t>
  </si>
  <si>
    <t>Aprt BL A/01/130</t>
  </si>
  <si>
    <t>Aprt BL A/01/131</t>
  </si>
  <si>
    <t>Aprt BL A/01/132</t>
  </si>
  <si>
    <t>Aprt BL A/01/133</t>
  </si>
  <si>
    <t>Aprt BL A/01/134</t>
  </si>
  <si>
    <t>Aprt BL A/01/135</t>
  </si>
  <si>
    <t>Aprt BL A/01/136</t>
  </si>
  <si>
    <t>Aprt BL A/01/137</t>
  </si>
  <si>
    <t>Aprt BL A/01/138</t>
  </si>
  <si>
    <t>Aprt BL A/01/139</t>
  </si>
  <si>
    <t>Aprt BL A/01/140</t>
  </si>
  <si>
    <t>Aprt BL A/01/141</t>
  </si>
  <si>
    <t>Aprt BL A/01/142</t>
  </si>
  <si>
    <t>Aprt BL A/02/201</t>
  </si>
  <si>
    <t>DB-2A-1</t>
  </si>
  <si>
    <t>Aprt BL A/02/202</t>
  </si>
  <si>
    <t>Aprt BL A/02/203</t>
  </si>
  <si>
    <t>Aprt BL A/02/204</t>
  </si>
  <si>
    <t>Aprt BL A/02/205</t>
  </si>
  <si>
    <t>Aprt BL A/02/206</t>
  </si>
  <si>
    <t>Aprt BL A/02/207</t>
  </si>
  <si>
    <t>Aprt BL A/02/208</t>
  </si>
  <si>
    <t>Aprt BL A/02/209</t>
  </si>
  <si>
    <t>Aprt BL A/02/210</t>
  </si>
  <si>
    <t>Aprt BL A/02/211</t>
  </si>
  <si>
    <t>Aprt BL A/02/212</t>
  </si>
  <si>
    <t>Aprt BL A/02/213</t>
  </si>
  <si>
    <t>Aprt BL A/02/214</t>
  </si>
  <si>
    <t>Aprt BL A/02/215</t>
  </si>
  <si>
    <t>DB-2A-2</t>
  </si>
  <si>
    <t>Aprt BL A/02/216</t>
  </si>
  <si>
    <t>Aprt BL A/02/217</t>
  </si>
  <si>
    <t>Aprt BL A/02/218</t>
  </si>
  <si>
    <t>Aprt BL A/02/219</t>
  </si>
  <si>
    <t>Aprt BL A/02/220</t>
  </si>
  <si>
    <t>Aprt BL A/02/221</t>
  </si>
  <si>
    <t>Aprt BL A/02/222</t>
  </si>
  <si>
    <t>Aprt BL A/02/223</t>
  </si>
  <si>
    <t>DB-2A-3</t>
  </si>
  <si>
    <t>Aprt BL A/02/224</t>
  </si>
  <si>
    <t>Aprt BL A/02/225</t>
  </si>
  <si>
    <t>Aprt BL A/02/226</t>
  </si>
  <si>
    <t>Aprt BL A/02/227</t>
  </si>
  <si>
    <t>Aprt BL A/02/228</t>
  </si>
  <si>
    <t>Aprt BL A/02/229</t>
  </si>
  <si>
    <t>DB-2A-4</t>
  </si>
  <si>
    <t>Aprt BL A/02/230</t>
  </si>
  <si>
    <t>Aprt BL A/02/231</t>
  </si>
  <si>
    <t>Aprt BL A/02/232</t>
  </si>
  <si>
    <t>Aprt BL A/02/233</t>
  </si>
  <si>
    <t>Aprt BL A/02/234</t>
  </si>
  <si>
    <t>Aprt BL A/02/235</t>
  </si>
  <si>
    <t>Aprt BL A/02/236</t>
  </si>
  <si>
    <t>Aprt BL A/02/237</t>
  </si>
  <si>
    <t>Aprt BL A/02/238</t>
  </si>
  <si>
    <t>Aprt BL A/02/239</t>
  </si>
  <si>
    <t>Aprt BL A/02/240</t>
  </si>
  <si>
    <t>Aprt BL A/02/241</t>
  </si>
  <si>
    <t>Aprt BL A/02/242</t>
  </si>
  <si>
    <t>Block A Bulk Meter</t>
  </si>
  <si>
    <t xml:space="preserve">DB-Plant A </t>
  </si>
  <si>
    <t>DB-UPS A</t>
  </si>
  <si>
    <t>Lift 1</t>
  </si>
  <si>
    <t>Lift 2</t>
  </si>
  <si>
    <t>Block B</t>
  </si>
  <si>
    <t>Aprt BL B/00/001</t>
  </si>
  <si>
    <t>DB-GB-4</t>
  </si>
  <si>
    <t>Aprt BL B/00/002</t>
  </si>
  <si>
    <t>Aprt BL B/00/003</t>
  </si>
  <si>
    <t>Aprt BL B/00/004</t>
  </si>
  <si>
    <t>Aprt BL B/00/005</t>
  </si>
  <si>
    <t>Aprt BL B/00/006</t>
  </si>
  <si>
    <t>Aprt BL B/00/007</t>
  </si>
  <si>
    <t>Aprt BL B/00/008</t>
  </si>
  <si>
    <t>Aprt BL B/00/009</t>
  </si>
  <si>
    <t>Aprt BL B/00/010</t>
  </si>
  <si>
    <t>Aprt BL B/00/011</t>
  </si>
  <si>
    <t>Aprt BL B/00/012</t>
  </si>
  <si>
    <t>Aprt BL B/00/013</t>
  </si>
  <si>
    <t>Aprt BL B/00/014</t>
  </si>
  <si>
    <t>Aprt BL B/00/015</t>
  </si>
  <si>
    <t>DB-1B-3</t>
  </si>
  <si>
    <t>Aprt BL B/00/016</t>
  </si>
  <si>
    <t>Aprt BL B/00/017</t>
  </si>
  <si>
    <t>Aprt BL B/00/018</t>
  </si>
  <si>
    <t>Aprt BL B/00/019</t>
  </si>
  <si>
    <t>Aprt BL B/00/020</t>
  </si>
  <si>
    <t>Aprt BL B/00/021</t>
  </si>
  <si>
    <t>DB-GB-2</t>
  </si>
  <si>
    <t>Aprt BL B/00/022</t>
  </si>
  <si>
    <t>Aprt BL B/00/023</t>
  </si>
  <si>
    <t>Aprt BL B/00/024</t>
  </si>
  <si>
    <t>Aprt BL B/00/025</t>
  </si>
  <si>
    <t>Aprt BL B/00/026</t>
  </si>
  <si>
    <t>Aprt BL B/00/027</t>
  </si>
  <si>
    <t>Aprt BL B/00/028</t>
  </si>
  <si>
    <t>Aprt BL B/00/029</t>
  </si>
  <si>
    <t>DB-GB-1</t>
  </si>
  <si>
    <t>Aprt BL B/00/030</t>
  </si>
  <si>
    <t>Aprt BL B/00/031</t>
  </si>
  <si>
    <t>Aprt BL B/00/032</t>
  </si>
  <si>
    <t>Aprt BL B/00/033</t>
  </si>
  <si>
    <t>Aprt BL B/00/034</t>
  </si>
  <si>
    <t>Aprt BL B/00/035</t>
  </si>
  <si>
    <t>Aprt BL B/00/036</t>
  </si>
  <si>
    <t>Aprt BL B/00/037</t>
  </si>
  <si>
    <t>Aprt BL B/00/038</t>
  </si>
  <si>
    <t>Aprt BL B/00/039</t>
  </si>
  <si>
    <t>Aprt BL B/00/040</t>
  </si>
  <si>
    <t>Aprt BL B/00/041</t>
  </si>
  <si>
    <t>Aprt BL B/00/042</t>
  </si>
  <si>
    <t>Aprt BL B/01/101</t>
  </si>
  <si>
    <t>DB-1B-4</t>
  </si>
  <si>
    <t>Aprt BL B/01/102</t>
  </si>
  <si>
    <t>Aprt BL B/01/103</t>
  </si>
  <si>
    <t>Aprt BL B/01/104</t>
  </si>
  <si>
    <t>Aprt BL B/01/105</t>
  </si>
  <si>
    <t>Aprt BL B/01/106</t>
  </si>
  <si>
    <t>Aprt BL B/01/107</t>
  </si>
  <si>
    <t>Aprt BL B/01/108</t>
  </si>
  <si>
    <t>Aprt BL B/01/109</t>
  </si>
  <si>
    <t>Aprt BL B/01/110</t>
  </si>
  <si>
    <t>Aprt BL B/01/111</t>
  </si>
  <si>
    <t>Aprt BL B/01/112</t>
  </si>
  <si>
    <t>Aprt BL B/01/113</t>
  </si>
  <si>
    <t>Aprt BL B/01/114</t>
  </si>
  <si>
    <t>Aprt BL B/01/115</t>
  </si>
  <si>
    <t>Aprt BL B/01/116</t>
  </si>
  <si>
    <t>Aprt BL B/01/117</t>
  </si>
  <si>
    <t>Aprt BL B/01/118</t>
  </si>
  <si>
    <t>Aprt BL B/01/119</t>
  </si>
  <si>
    <t>Aprt BL B/01/120</t>
  </si>
  <si>
    <t>Aprt BL B/01/121</t>
  </si>
  <si>
    <t>DB-1B-2</t>
  </si>
  <si>
    <t>Aprt BL B/01/122</t>
  </si>
  <si>
    <t>Aprt BL B/01/123</t>
  </si>
  <si>
    <t>Aprt BL B/01/124</t>
  </si>
  <si>
    <t>Aprt BL B/01/125</t>
  </si>
  <si>
    <t>Aprt BL B/01/126</t>
  </si>
  <si>
    <t>Aprt BL B/01/127</t>
  </si>
  <si>
    <t>Aprt BL B/01/128</t>
  </si>
  <si>
    <t>Aprt BL B/01/129</t>
  </si>
  <si>
    <t>DB-1B-1</t>
  </si>
  <si>
    <t>Aprt BL B/01/130</t>
  </si>
  <si>
    <t>Aprt BL B/01/131</t>
  </si>
  <si>
    <t>Aprt BL B/01/132</t>
  </si>
  <si>
    <t>Aprt BL B/01/133</t>
  </si>
  <si>
    <t>Aprt BL B/01/134</t>
  </si>
  <si>
    <t>Aprt BL B/01/135</t>
  </si>
  <si>
    <t>Aprt BL B/01/136</t>
  </si>
  <si>
    <t>Aprt BL B/01/137</t>
  </si>
  <si>
    <t>Aprt BL B/01/138</t>
  </si>
  <si>
    <t>Aprt BL B/01/139</t>
  </si>
  <si>
    <t>Aprt BL B/01/140</t>
  </si>
  <si>
    <t>Aprt BL B/01/141</t>
  </si>
  <si>
    <t>Aprt BL B/01/142</t>
  </si>
  <si>
    <t>Aprt BL B/02/201</t>
  </si>
  <si>
    <t>DB-2B-4</t>
  </si>
  <si>
    <t>Aprt BL B/02/202</t>
  </si>
  <si>
    <t>Aprt BL B/02/203</t>
  </si>
  <si>
    <t>Aprt BL B/02/204</t>
  </si>
  <si>
    <t>Aprt BL B/02/205</t>
  </si>
  <si>
    <t>Aprt BL B/02/206</t>
  </si>
  <si>
    <t>Aprt BL B/02/207</t>
  </si>
  <si>
    <t>Aprt BL B/02/208</t>
  </si>
  <si>
    <t>Aprt BL B/02/209</t>
  </si>
  <si>
    <t>Aprt BL B/02/210</t>
  </si>
  <si>
    <t>Aprt BL B/02/211</t>
  </si>
  <si>
    <t>Aprt BL B/02/212</t>
  </si>
  <si>
    <t>Aprt BL B/02/213</t>
  </si>
  <si>
    <t>Aprt BL B/02/214</t>
  </si>
  <si>
    <t>Aprt BL B/02/215</t>
  </si>
  <si>
    <t>DB-2B-3</t>
  </si>
  <si>
    <t>Aprt BL B/02/216</t>
  </si>
  <si>
    <t>Aprt BL B/02/217</t>
  </si>
  <si>
    <t>Aprt BL B/02/218</t>
  </si>
  <si>
    <t>Aprt BL B/02/219</t>
  </si>
  <si>
    <t>Aprt BL B/02/220</t>
  </si>
  <si>
    <t>Aprt BL B/02/221</t>
  </si>
  <si>
    <t>DB-2B-2</t>
  </si>
  <si>
    <t>Aprt BL B/02/222</t>
  </si>
  <si>
    <t>Aprt BL B/02/223</t>
  </si>
  <si>
    <t>Aprt BL B/02/224</t>
  </si>
  <si>
    <t>Aprt BL B/02/225</t>
  </si>
  <si>
    <t>Aprt BL B/02/226</t>
  </si>
  <si>
    <t>Aprt BL B/02/227</t>
  </si>
  <si>
    <t>Aprt BL B/02/228</t>
  </si>
  <si>
    <t>Aprt BL B/02/229</t>
  </si>
  <si>
    <t>DB-2B-1</t>
  </si>
  <si>
    <t>Aprt BL B/02/230</t>
  </si>
  <si>
    <t>Aprt BL B/02/231</t>
  </si>
  <si>
    <t>Aprt BL B/02/232</t>
  </si>
  <si>
    <t>Aprt BL B/02/233</t>
  </si>
  <si>
    <t>Aprt BL B/02/234</t>
  </si>
  <si>
    <t>Aprt BL B/02/235</t>
  </si>
  <si>
    <t>Aprt BL B/02/236</t>
  </si>
  <si>
    <t>Aprt BL B/02/237</t>
  </si>
  <si>
    <t>Aprt BL B/02/238</t>
  </si>
  <si>
    <t>Aprt BL B/02/239</t>
  </si>
  <si>
    <t>Aprt BL B/02/240</t>
  </si>
  <si>
    <t>Aprt BL B/02/241</t>
  </si>
  <si>
    <t>Aprt BL B/02/242</t>
  </si>
  <si>
    <t>Block B Bulk Meter</t>
  </si>
  <si>
    <t>MS3</t>
  </si>
  <si>
    <t>DB-GB-3</t>
  </si>
  <si>
    <t>DB-Plant B</t>
  </si>
  <si>
    <t>DB-UPS B</t>
  </si>
  <si>
    <t xml:space="preserve">Cold water Serial </t>
  </si>
  <si>
    <t xml:space="preserve">Hot water serial </t>
  </si>
  <si>
    <t>Block A</t>
  </si>
  <si>
    <t>1012-193-9022</t>
  </si>
  <si>
    <t>1012-193-9024</t>
  </si>
  <si>
    <t>1012-193-9115</t>
  </si>
  <si>
    <t>1012-193-9117</t>
  </si>
  <si>
    <t>1012-193-9021</t>
  </si>
  <si>
    <t>1012-193-9018</t>
  </si>
  <si>
    <t>1012-193-9020</t>
  </si>
  <si>
    <t>1012-193-9017</t>
  </si>
  <si>
    <t>1012-193-9015</t>
  </si>
  <si>
    <t>1012-193-9019</t>
  </si>
  <si>
    <t>1012-193-9455</t>
  </si>
  <si>
    <t>1012-193-9154</t>
  </si>
  <si>
    <t>1012-193-9458</t>
  </si>
  <si>
    <t>1012-193-9464</t>
  </si>
  <si>
    <t>1012-193-9461</t>
  </si>
  <si>
    <t>1012-193-9463</t>
  </si>
  <si>
    <t>1012-193-9457</t>
  </si>
  <si>
    <t>1012-193-9459</t>
  </si>
  <si>
    <t>1012-193-8146</t>
  </si>
  <si>
    <t>1012-193-9462</t>
  </si>
  <si>
    <t>1012-193-9193</t>
  </si>
  <si>
    <t>1012-193-9185</t>
  </si>
  <si>
    <t>1012-193-8368</t>
  </si>
  <si>
    <t>1012-193-8148</t>
  </si>
  <si>
    <t>1012-193-9023</t>
  </si>
  <si>
    <t>1012-193-8122</t>
  </si>
  <si>
    <t>1012-193-9188</t>
  </si>
  <si>
    <t>1012-193-9189</t>
  </si>
  <si>
    <t>1012-193-8391</t>
  </si>
  <si>
    <t>1012-193-9460</t>
  </si>
  <si>
    <t>1012-193-9148</t>
  </si>
  <si>
    <t>1012-193-9144</t>
  </si>
  <si>
    <t>1012-193-9201</t>
  </si>
  <si>
    <t>1012-193-9137</t>
  </si>
  <si>
    <t>1012-193-9142</t>
  </si>
  <si>
    <t>1012-193-9198</t>
  </si>
  <si>
    <t>1012-193-9143</t>
  </si>
  <si>
    <t>1012-193-9003</t>
  </si>
  <si>
    <t>1012-193-9474</t>
  </si>
  <si>
    <t>1012-193-9002</t>
  </si>
  <si>
    <t>1012-193-8169</t>
  </si>
  <si>
    <t>1012-193-8174</t>
  </si>
  <si>
    <t>1012-193-8168</t>
  </si>
  <si>
    <t>1012-193-8170</t>
  </si>
  <si>
    <t>1012-193-8172</t>
  </si>
  <si>
    <t>1012-193-8165</t>
  </si>
  <si>
    <t>1012-193-9244</t>
  </si>
  <si>
    <t>1012-193-9240</t>
  </si>
  <si>
    <t>1012-193-9242</t>
  </si>
  <si>
    <t>1012-193-9241</t>
  </si>
  <si>
    <t>1012-193-9237</t>
  </si>
  <si>
    <t>1012-193-9238</t>
  </si>
  <si>
    <t>1012-194-1304</t>
  </si>
  <si>
    <t>1012-193-9469</t>
  </si>
  <si>
    <t>1012-193-9465</t>
  </si>
  <si>
    <t>1012-193-9466</t>
  </si>
  <si>
    <t>1012-193-8400</t>
  </si>
  <si>
    <t>1012-193-9471</t>
  </si>
  <si>
    <t>1012-193-9470</t>
  </si>
  <si>
    <t>1012-193-9000</t>
  </si>
  <si>
    <t>1012-193-9141</t>
  </si>
  <si>
    <t>1012-193-9254</t>
  </si>
  <si>
    <t>1012-193-8998</t>
  </si>
  <si>
    <t>1012-193-9246</t>
  </si>
  <si>
    <t>1012-193-8239</t>
  </si>
  <si>
    <t>1012-193-8242</t>
  </si>
  <si>
    <t>1012-177-2241</t>
  </si>
  <si>
    <t>1012-193-1515</t>
  </si>
  <si>
    <t>1012-194-1302</t>
  </si>
  <si>
    <t>1012-194-1301</t>
  </si>
  <si>
    <t>1012-177-2246</t>
  </si>
  <si>
    <t>1012-177-2244</t>
  </si>
  <si>
    <t>1012-177-2250</t>
  </si>
  <si>
    <t>1012-177-2245</t>
  </si>
  <si>
    <t>1012-194-1522</t>
  </si>
  <si>
    <t>1012-177-2249</t>
  </si>
  <si>
    <t>1012-194-1524</t>
  </si>
  <si>
    <t>1012-177-2248</t>
  </si>
  <si>
    <t>1012-194-1516</t>
  </si>
  <si>
    <t>1012-194-1523</t>
  </si>
  <si>
    <t>1012-193-8150</t>
  </si>
  <si>
    <t>1012-193-8145</t>
  </si>
  <si>
    <t>1012-193-8154</t>
  </si>
  <si>
    <t>1012-193-9456</t>
  </si>
  <si>
    <t>1012-193-8153</t>
  </si>
  <si>
    <t>1012-193-8152</t>
  </si>
  <si>
    <t>1012-193-9202</t>
  </si>
  <si>
    <t>1012-193-8147</t>
  </si>
  <si>
    <t>1012-193-9192</t>
  </si>
  <si>
    <t>1012-193-9186</t>
  </si>
  <si>
    <t>1012-193-9190</t>
  </si>
  <si>
    <t>1012-193-9187</t>
  </si>
  <si>
    <t>1012-193-8149</t>
  </si>
  <si>
    <t>1012-193-9147</t>
  </si>
  <si>
    <t>1012-193-9191</t>
  </si>
  <si>
    <t>1012-193-9194</t>
  </si>
  <si>
    <t>1012-193-8369</t>
  </si>
  <si>
    <t>1012-193-8366</t>
  </si>
  <si>
    <t>1012-193-8365</t>
  </si>
  <si>
    <t>1012-193-9016</t>
  </si>
  <si>
    <t>1012-193-8118</t>
  </si>
  <si>
    <t>1012-193-8117</t>
  </si>
  <si>
    <t>1012-193-8371</t>
  </si>
  <si>
    <t>1012-193-8374</t>
  </si>
  <si>
    <t>1012-193-8119</t>
  </si>
  <si>
    <t>1012-193-8115</t>
  </si>
  <si>
    <t>1012-193-8373</t>
  </si>
  <si>
    <t>1012-193-8367</t>
  </si>
  <si>
    <t>1012-193-8997</t>
  </si>
  <si>
    <t>1012-193-9200</t>
  </si>
  <si>
    <t>1012-193-8151</t>
  </si>
  <si>
    <t>1012-193-8996</t>
  </si>
  <si>
    <t>1012-193-9153</t>
  </si>
  <si>
    <t>1012-193-9197</t>
  </si>
  <si>
    <t>1012-193-9236</t>
  </si>
  <si>
    <t>1012-193-9235</t>
  </si>
  <si>
    <t>1012-193-8171</t>
  </si>
  <si>
    <t>1012-193-8167</t>
  </si>
  <si>
    <t>1012-193-8173</t>
  </si>
  <si>
    <t>1012-193-8166</t>
  </si>
  <si>
    <t>1012-193-9239</t>
  </si>
  <si>
    <t>1012-193-9243</t>
  </si>
  <si>
    <t>1012-193-9004</t>
  </si>
  <si>
    <t>1012-193-8999</t>
  </si>
  <si>
    <t>1012-193-9199</t>
  </si>
  <si>
    <t>1012-193-9468</t>
  </si>
  <si>
    <t>1012-193-9473</t>
  </si>
  <si>
    <t>1012-193-9472</t>
  </si>
  <si>
    <t>1012-193-8995</t>
  </si>
  <si>
    <t>1012-193-8401</t>
  </si>
  <si>
    <t>1012-193-8396</t>
  </si>
  <si>
    <t>1012-193-9140</t>
  </si>
  <si>
    <t>1012-193-9467</t>
  </si>
  <si>
    <t>1012-193-8399</t>
  </si>
  <si>
    <t>1012-193-9139</t>
  </si>
  <si>
    <t>1012-193-9136</t>
  </si>
  <si>
    <t>1012-194-1521</t>
  </si>
  <si>
    <t>1012-194-1518</t>
  </si>
  <si>
    <t>1012-194-1520</t>
  </si>
  <si>
    <t>1012-194-1519</t>
  </si>
  <si>
    <t>1012-177-2242</t>
  </si>
  <si>
    <t>1012-177-2247</t>
  </si>
  <si>
    <t>1012-194-1517</t>
  </si>
  <si>
    <t>1012-177-2243</t>
  </si>
  <si>
    <t>1012-193-8244</t>
  </si>
  <si>
    <t>1012-193-8241</t>
  </si>
  <si>
    <t>1012-193-8103</t>
  </si>
  <si>
    <t>1012-193-8238</t>
  </si>
  <si>
    <t>1012-193-8096</t>
  </si>
  <si>
    <t>1012-193-9195</t>
  </si>
  <si>
    <t>1012-193-8243</t>
  </si>
  <si>
    <t>1012-193-8236</t>
  </si>
  <si>
    <t>1012-193-8240</t>
  </si>
  <si>
    <t>1012-193-8237</t>
  </si>
  <si>
    <t>1012-193-8402</t>
  </si>
  <si>
    <t>1012-193-9253</t>
  </si>
  <si>
    <t>1012-193-8101</t>
  </si>
  <si>
    <t>1012-193-8100</t>
  </si>
  <si>
    <t>1012-193-8104</t>
  </si>
  <si>
    <t>1012-193-8095</t>
  </si>
  <si>
    <t>1012-193-9204</t>
  </si>
  <si>
    <t>1012-193-8099</t>
  </si>
  <si>
    <t>1012-193-8102</t>
  </si>
  <si>
    <t>1012-193-8235</t>
  </si>
  <si>
    <t>1012-193-8370</t>
  </si>
  <si>
    <t>1012-193-8120</t>
  </si>
  <si>
    <t>1012-193-8123</t>
  </si>
  <si>
    <t>1012-193-8124</t>
  </si>
  <si>
    <t>1012-193-9488</t>
  </si>
  <si>
    <t>1012-193-9182</t>
  </si>
  <si>
    <t>1012-193-9183</t>
  </si>
  <si>
    <t>1012-193-9491</t>
  </si>
  <si>
    <t>1012-193-9485</t>
  </si>
  <si>
    <t>1012-194-9486</t>
  </si>
  <si>
    <t>1012-193-9175</t>
  </si>
  <si>
    <t>1012-193-9177</t>
  </si>
  <si>
    <t>1012-193-9487</t>
  </si>
  <si>
    <t>1012-193-9494</t>
  </si>
  <si>
    <t>1012-193-9184</t>
  </si>
  <si>
    <t>1012-193-9489</t>
  </si>
  <si>
    <t>1012-193-9181</t>
  </si>
  <si>
    <t>1012-193-9490</t>
  </si>
  <si>
    <t>1012-193-9492</t>
  </si>
  <si>
    <t>1012-193-9179</t>
  </si>
  <si>
    <t>1012-193-9176</t>
  </si>
  <si>
    <t>1012-193-9178</t>
  </si>
  <si>
    <t>1012-193-8121</t>
  </si>
  <si>
    <t>1012-193-8116</t>
  </si>
  <si>
    <t>1012-193-9180</t>
  </si>
  <si>
    <t>1012-193-9493</t>
  </si>
  <si>
    <t>1012-193-9203</t>
  </si>
  <si>
    <t>1012-193-9001</t>
  </si>
  <si>
    <t>1012-193-9131</t>
  </si>
  <si>
    <t>1012-193-9134</t>
  </si>
  <si>
    <t>1012-193-9378</t>
  </si>
  <si>
    <t>1012-193-9383</t>
  </si>
  <si>
    <t>1012-193-8082</t>
  </si>
  <si>
    <t>1012-193-9157</t>
  </si>
  <si>
    <t>1012-193-9381</t>
  </si>
  <si>
    <t>1012-193-9375</t>
  </si>
  <si>
    <t>1012-193-9126</t>
  </si>
  <si>
    <t>1012-193-9384</t>
  </si>
  <si>
    <t>1012-193-9679</t>
  </si>
  <si>
    <t>1012-193-9377</t>
  </si>
  <si>
    <t>1012-193-8084</t>
  </si>
  <si>
    <t>1012-193-8081</t>
  </si>
  <si>
    <t>1012-193-8070</t>
  </si>
  <si>
    <t>1012-193-9161</t>
  </si>
  <si>
    <t>1012-193-9156</t>
  </si>
  <si>
    <t>1012-193-8079</t>
  </si>
  <si>
    <t>1012-193-9163</t>
  </si>
  <si>
    <t>1012-193-8098</t>
  </si>
  <si>
    <t>1012-193-9159</t>
  </si>
  <si>
    <t>1012-193-8097</t>
  </si>
  <si>
    <t>1012-193-8076</t>
  </si>
  <si>
    <t>1012-193-9160</t>
  </si>
  <si>
    <t>1012-193-9162</t>
  </si>
  <si>
    <t>1012-193-8083</t>
  </si>
  <si>
    <t>1012-193-9164</t>
  </si>
  <si>
    <t>1012-193-9158</t>
  </si>
  <si>
    <t>1012-193-8077</t>
  </si>
  <si>
    <t>1012-193-8080</t>
  </si>
  <si>
    <t>1012-193-9155</t>
  </si>
  <si>
    <t>1012-193-8075</t>
  </si>
  <si>
    <t>1012-193-9128</t>
  </si>
  <si>
    <t>1012-193-9129</t>
  </si>
  <si>
    <t>1012-193-9380</t>
  </si>
  <si>
    <t>1012-193-9382</t>
  </si>
  <si>
    <t>1012-193-9125</t>
  </si>
  <si>
    <t>1012-193-9133</t>
  </si>
  <si>
    <t>1012-193-9376</t>
  </si>
  <si>
    <t>1012-193-9132</t>
  </si>
  <si>
    <t>1012-193-9070</t>
  </si>
  <si>
    <t>1012-193-9152</t>
  </si>
  <si>
    <t>1012-193-9130</t>
  </si>
  <si>
    <t>1012-193-9127</t>
  </si>
  <si>
    <t>1012-193-9151</t>
  </si>
  <si>
    <t>1012-193-9046</t>
  </si>
  <si>
    <t>1012-193-9071</t>
  </si>
  <si>
    <t>1012-193-9048</t>
  </si>
  <si>
    <t>1012-193-9054</t>
  </si>
  <si>
    <t>1012-196-9153</t>
  </si>
  <si>
    <t>1012-193-9053</t>
  </si>
  <si>
    <t>1012-193-9066</t>
  </si>
  <si>
    <t>1012-193-9045</t>
  </si>
  <si>
    <t>1012-194-1433</t>
  </si>
  <si>
    <t>1012-193-9146</t>
  </si>
  <si>
    <t>1012-193-9074</t>
  </si>
  <si>
    <t>1012-193-9051</t>
  </si>
  <si>
    <t>1012-193-9252</t>
  </si>
  <si>
    <t>1012-193-9073</t>
  </si>
  <si>
    <t>1012-193-9050</t>
  </si>
  <si>
    <t>1012-193-8398</t>
  </si>
  <si>
    <t>1012-193-9150</t>
  </si>
  <si>
    <t>1012-193-9047</t>
  </si>
  <si>
    <t>1012-193-1300</t>
  </si>
  <si>
    <t>1012-193-8403</t>
  </si>
  <si>
    <t>1012-193-8111</t>
  </si>
  <si>
    <t>1012-193-8395</t>
  </si>
  <si>
    <t>1012-193-9196</t>
  </si>
  <si>
    <t>1012-193-9138</t>
  </si>
  <si>
    <t>1012-193-8404</t>
  </si>
  <si>
    <t>1012-193-9049</t>
  </si>
  <si>
    <t>1012-193-9068</t>
  </si>
  <si>
    <t>1012-193-9072</t>
  </si>
  <si>
    <t>1012-193-9067</t>
  </si>
  <si>
    <t>1012-193-9296</t>
  </si>
  <si>
    <t>1012-193-9299</t>
  </si>
  <si>
    <t>1012-194-1211</t>
  </si>
  <si>
    <t>1012-194-1426</t>
  </si>
  <si>
    <t>1012-193-9008</t>
  </si>
  <si>
    <t>1012-177-1783</t>
  </si>
  <si>
    <t>1012-193-9301</t>
  </si>
  <si>
    <t>1012-193-9069</t>
  </si>
  <si>
    <t>1012-193-1786</t>
  </si>
  <si>
    <t>1012-193-9052</t>
  </si>
  <si>
    <t>1012-193-8179</t>
  </si>
  <si>
    <t>1012-193-8182</t>
  </si>
  <si>
    <t>1012-193-8180</t>
  </si>
  <si>
    <t>1012-193-8177</t>
  </si>
  <si>
    <t>1012-193-8178</t>
  </si>
  <si>
    <t>1012-193-8181</t>
  </si>
  <si>
    <t>1012-193-8175</t>
  </si>
  <si>
    <t>1012-193-8176</t>
  </si>
  <si>
    <t>1012-193-8183</t>
  </si>
  <si>
    <t>1012-1938184</t>
  </si>
  <si>
    <t>1012-193-9145</t>
  </si>
  <si>
    <t>1012-193-9123</t>
  </si>
  <si>
    <t>1012-193-9120</t>
  </si>
  <si>
    <t>1012-193-9149</t>
  </si>
  <si>
    <t>1012-193-9118</t>
  </si>
  <si>
    <t>1012-193-9124</t>
  </si>
  <si>
    <t>1012-193-9119</t>
  </si>
  <si>
    <t>1012-193-9116</t>
  </si>
  <si>
    <t>1012-193-9121</t>
  </si>
  <si>
    <t>1012-193-9122</t>
  </si>
  <si>
    <t>1012-193-9086</t>
  </si>
  <si>
    <t>1012-193-9087</t>
  </si>
  <si>
    <t>1012-193-9088</t>
  </si>
  <si>
    <t>1012-193-9093</t>
  </si>
  <si>
    <t>1012-193-9090</t>
  </si>
  <si>
    <t>1012-193-9091</t>
  </si>
  <si>
    <t>1012-193-9089</t>
  </si>
  <si>
    <t>1012-193-9085</t>
  </si>
  <si>
    <t>1012-177-1621</t>
  </si>
  <si>
    <t>1012-177-1622</t>
  </si>
  <si>
    <t>1012-193-9450</t>
  </si>
  <si>
    <t>1012-193-1627</t>
  </si>
  <si>
    <t>1012-193-9452</t>
  </si>
  <si>
    <t>1012-193-9106</t>
  </si>
  <si>
    <t>1012-193-9113</t>
  </si>
  <si>
    <t>1012-193-9107</t>
  </si>
  <si>
    <t>1012-193-9109</t>
  </si>
  <si>
    <t>1012-193-9484</t>
  </si>
  <si>
    <t>1012-193-9481</t>
  </si>
  <si>
    <t>1012-193-9112</t>
  </si>
  <si>
    <t>1012-193-9114</t>
  </si>
  <si>
    <t>1012-193-9108</t>
  </si>
  <si>
    <t>1012-193-9105</t>
  </si>
  <si>
    <t>1012-193-9441</t>
  </si>
  <si>
    <t>1012-193-9442</t>
  </si>
  <si>
    <t>1012-193-9436</t>
  </si>
  <si>
    <t>1012-193-9437</t>
  </si>
  <si>
    <t>1012-193-9443</t>
  </si>
  <si>
    <t>1012-193-9440</t>
  </si>
  <si>
    <t>1012-193-9444</t>
  </si>
  <si>
    <t>1012-193-9435</t>
  </si>
  <si>
    <t>1012-193-9439</t>
  </si>
  <si>
    <t>1012-193-9111</t>
  </si>
  <si>
    <t>1012-193-9110</t>
  </si>
  <si>
    <t>1012-193-9438</t>
  </si>
  <si>
    <t>1012-193-9044</t>
  </si>
  <si>
    <t>1012-193-9005</t>
  </si>
  <si>
    <t>1012-193-9013</t>
  </si>
  <si>
    <t>1012-193-9006</t>
  </si>
  <si>
    <t>1012-193-9012</t>
  </si>
  <si>
    <t>1012-193-9303</t>
  </si>
  <si>
    <t>1012-193-9007</t>
  </si>
  <si>
    <t>1012-193-9298</t>
  </si>
  <si>
    <t>1012-193-9300</t>
  </si>
  <si>
    <t>1012-194-1429</t>
  </si>
  <si>
    <t>1012-194-1428</t>
  </si>
  <si>
    <t>1012-193-9014</t>
  </si>
  <si>
    <t>1012-193-9009</t>
  </si>
  <si>
    <t>1012-193-1430</t>
  </si>
  <si>
    <t>1012-193-9295</t>
  </si>
  <si>
    <t>1012-193-9297</t>
  </si>
  <si>
    <t>1012-193-9302</t>
  </si>
  <si>
    <t>1012-193-8106</t>
  </si>
  <si>
    <t>1012-193-8114</t>
  </si>
  <si>
    <t>1012-193-8135</t>
  </si>
  <si>
    <t>1012-193-8141</t>
  </si>
  <si>
    <t>1012-194-1295</t>
  </si>
  <si>
    <t>1012-193-8107</t>
  </si>
  <si>
    <t>1012-193-8109</t>
  </si>
  <si>
    <t>1012-193-8112</t>
  </si>
  <si>
    <t>1012-193-8105</t>
  </si>
  <si>
    <t>1012-193-8113</t>
  </si>
  <si>
    <t>1012-194-1303</t>
  </si>
  <si>
    <t>1012-193-8108</t>
  </si>
  <si>
    <t>1012-193-9394</t>
  </si>
  <si>
    <t>1012-193-9388</t>
  </si>
  <si>
    <t>1012-193-9094</t>
  </si>
  <si>
    <t>1012-193-9393</t>
  </si>
  <si>
    <t>1012-193-9363</t>
  </si>
  <si>
    <t>1012-193-9359</t>
  </si>
  <si>
    <t>1012-193-9392</t>
  </si>
  <si>
    <t>1012-193-9389</t>
  </si>
  <si>
    <t>1012-193-9357</t>
  </si>
  <si>
    <t>1012-193-9362</t>
  </si>
  <si>
    <t>1012-193-9358</t>
  </si>
  <si>
    <t>1012-193-9360</t>
  </si>
  <si>
    <t>1012-193-9356</t>
  </si>
  <si>
    <t>1012-193-9364</t>
  </si>
  <si>
    <t>1012-193-9361</t>
  </si>
  <si>
    <t>1012-193-9355</t>
  </si>
  <si>
    <t>1012-193-8190</t>
  </si>
  <si>
    <t>1012-193-8139</t>
  </si>
  <si>
    <t>1012-193-9011</t>
  </si>
  <si>
    <t>1012-193-9062</t>
  </si>
  <si>
    <t>1012-193-8192</t>
  </si>
  <si>
    <t>1012-193-8186</t>
  </si>
  <si>
    <t>1012-193-8189</t>
  </si>
  <si>
    <t>1012-193-8185</t>
  </si>
  <si>
    <t>1012-193-8191</t>
  </si>
  <si>
    <t>1012-193-8188</t>
  </si>
  <si>
    <t>1012-193-8194</t>
  </si>
  <si>
    <t>1012-193-8187</t>
  </si>
  <si>
    <t>1012-193-9172</t>
  </si>
  <si>
    <t>1012-193-9170</t>
  </si>
  <si>
    <t>1012-193-9171</t>
  </si>
  <si>
    <t>1012-193-9043</t>
  </si>
  <si>
    <t>1012-193-9174</t>
  </si>
  <si>
    <t>1012-193-9165</t>
  </si>
  <si>
    <t>1012-193-9079</t>
  </si>
  <si>
    <t>1012-193-9166</t>
  </si>
  <si>
    <t>1012-193-9169</t>
  </si>
  <si>
    <t>1012-193-9168</t>
  </si>
  <si>
    <t>1012-193-9173</t>
  </si>
  <si>
    <t>1012-193-9167</t>
  </si>
  <si>
    <t>1012-193-9080</t>
  </si>
  <si>
    <t>1012-193-9077</t>
  </si>
  <si>
    <t>1012-193-9076</t>
  </si>
  <si>
    <t>1012-193-9081</t>
  </si>
  <si>
    <t>1012-193-9082</t>
  </si>
  <si>
    <t>1012-193-9078</t>
  </si>
  <si>
    <t>1012-193-9083</t>
  </si>
  <si>
    <t>1012-193-9084</t>
  </si>
  <si>
    <t>1012-193-9280</t>
  </si>
  <si>
    <t>1012-193-9279</t>
  </si>
  <si>
    <t>1012-193-9283</t>
  </si>
  <si>
    <t>1012-193-9282</t>
  </si>
  <si>
    <t>1012-193-9275</t>
  </si>
  <si>
    <t>1012-193-9281</t>
  </si>
  <si>
    <t>1012-193-9278</t>
  </si>
  <si>
    <t>1012-193-9276</t>
  </si>
  <si>
    <t>1012-194-1209</t>
  </si>
  <si>
    <t>1012-194-1214</t>
  </si>
  <si>
    <t>1012-194-1205</t>
  </si>
  <si>
    <t>1012-194-1208</t>
  </si>
  <si>
    <t>1012-193-1210</t>
  </si>
  <si>
    <t>1012-193-1207</t>
  </si>
  <si>
    <t>1012-193-9304</t>
  </si>
  <si>
    <t>1012-193-1212</t>
  </si>
  <si>
    <t>1012-194-1206</t>
  </si>
  <si>
    <t>1012-193-1213</t>
  </si>
  <si>
    <t>1012-193-8140</t>
  </si>
  <si>
    <t>1012-193-8143</t>
  </si>
  <si>
    <t>1012-193-8136</t>
  </si>
  <si>
    <t>1012-193-8142</t>
  </si>
  <si>
    <t>1012-193-8144</t>
  </si>
  <si>
    <t>1012-193-8138</t>
  </si>
  <si>
    <t>1012-193-8137</t>
  </si>
  <si>
    <t>1012-193-8193</t>
  </si>
  <si>
    <t>1012-193-9010</t>
  </si>
  <si>
    <t>1012-177-1782</t>
  </si>
  <si>
    <t>1012-194-1434</t>
  </si>
  <si>
    <t>1012-193-9065</t>
  </si>
  <si>
    <t>1012-194-1425</t>
  </si>
  <si>
    <t>1012-177-1789</t>
  </si>
  <si>
    <t>1012-177-1785</t>
  </si>
  <si>
    <t>1012-194-1432</t>
  </si>
  <si>
    <t>1012-194-1431</t>
  </si>
  <si>
    <t>1012-194-1427</t>
  </si>
  <si>
    <t>1012-193-9390</t>
  </si>
  <si>
    <t>1012-193-9385</t>
  </si>
  <si>
    <t>1012-193-9386</t>
  </si>
  <si>
    <t>1012-193-9391</t>
  </si>
  <si>
    <t>1012-193-9372</t>
  </si>
  <si>
    <t>1012-193-9366</t>
  </si>
  <si>
    <t>1012-193-9370</t>
  </si>
  <si>
    <t>1012-193-9373</t>
  </si>
  <si>
    <t>1012-193-9075</t>
  </si>
  <si>
    <t>1012-193-9387</t>
  </si>
  <si>
    <t>1012-193-8085</t>
  </si>
  <si>
    <t>1012-193-9374</t>
  </si>
  <si>
    <t>1012-193-9369</t>
  </si>
  <si>
    <t>1012-193-8089</t>
  </si>
  <si>
    <t>1012-193-8090</t>
  </si>
  <si>
    <t>1012-193-8093</t>
  </si>
  <si>
    <t>1012-193-8092</t>
  </si>
  <si>
    <t>1012-193-8094</t>
  </si>
  <si>
    <t>1012-193-9365</t>
  </si>
  <si>
    <t>1012-193-8086</t>
  </si>
  <si>
    <t>1012-193-9371</t>
  </si>
  <si>
    <t>1012-193-9368</t>
  </si>
  <si>
    <t>1012-193-8091</t>
  </si>
  <si>
    <t>1012-193-8087</t>
  </si>
  <si>
    <t>1012-193-9367</t>
  </si>
  <si>
    <t>1012-193-8088</t>
  </si>
  <si>
    <t>1012-193-9277</t>
  </si>
  <si>
    <t>1012-193-9284</t>
  </si>
  <si>
    <t>1012-193-9483</t>
  </si>
  <si>
    <t>1012-193-9477</t>
  </si>
  <si>
    <t>1012-193-9476</t>
  </si>
  <si>
    <t>1012-193-9479</t>
  </si>
  <si>
    <t>1012-193-9445</t>
  </si>
  <si>
    <t>1012-193-9475</t>
  </si>
  <si>
    <t>1012-193-9448</t>
  </si>
  <si>
    <t>1012-193-9446</t>
  </si>
  <si>
    <t>1012-177-1630</t>
  </si>
  <si>
    <t>1012-193-9451</t>
  </si>
  <si>
    <t>1012-177-1625</t>
  </si>
  <si>
    <t>1012-193-9480</t>
  </si>
  <si>
    <t>1012-193-9447</t>
  </si>
  <si>
    <t>1012-177-1629</t>
  </si>
  <si>
    <t>1012-177-1628</t>
  </si>
  <si>
    <t>1012-177-1624</t>
  </si>
  <si>
    <t>1012-193-9453</t>
  </si>
  <si>
    <t>1012-193-9449</t>
  </si>
  <si>
    <t>1012-193-9454</t>
  </si>
  <si>
    <t>1012-177-1623</t>
  </si>
  <si>
    <t>1012-193-9038</t>
  </si>
  <si>
    <t>1012-193-9042</t>
  </si>
  <si>
    <t>1012-193-9040</t>
  </si>
  <si>
    <t>1012-193-9035</t>
  </si>
  <si>
    <t>1012-193-9041</t>
  </si>
  <si>
    <t>1012-193-9039</t>
  </si>
  <si>
    <t>1012-193-9037</t>
  </si>
  <si>
    <t>1012-193-9036</t>
  </si>
  <si>
    <t>Minisub</t>
  </si>
  <si>
    <t xml:space="preserve">MS Serial </t>
  </si>
  <si>
    <t>Kiosk Number</t>
  </si>
  <si>
    <t xml:space="preserve">Original Planned </t>
  </si>
  <si>
    <t>New planned units</t>
  </si>
  <si>
    <t>Comments</t>
  </si>
  <si>
    <t>Uits fed</t>
  </si>
  <si>
    <t>8 probe</t>
  </si>
  <si>
    <t>16 probe</t>
  </si>
  <si>
    <t>Updated units fed</t>
  </si>
  <si>
    <t>Inc/dec units</t>
  </si>
  <si>
    <t xml:space="preserve">One less Unit fed </t>
  </si>
  <si>
    <t>2 less units fed</t>
  </si>
  <si>
    <t>4 less units fed</t>
  </si>
  <si>
    <t>6EVE3</t>
  </si>
  <si>
    <t>Kiosk removed</t>
  </si>
  <si>
    <t>6 less units</t>
  </si>
  <si>
    <t>one additional unit</t>
  </si>
  <si>
    <t xml:space="preserve">New additional kiosk </t>
  </si>
  <si>
    <t>Erf</t>
  </si>
  <si>
    <t>Google docs Submitted</t>
  </si>
  <si>
    <t xml:space="preserve">removal date </t>
  </si>
  <si>
    <t>Closing Readings</t>
  </si>
  <si>
    <t>Usage [WBHO]</t>
  </si>
  <si>
    <t>A</t>
  </si>
  <si>
    <t>Yes</t>
  </si>
  <si>
    <t>?</t>
  </si>
  <si>
    <t xml:space="preserve">Handover Date </t>
  </si>
  <si>
    <t>Closing Reading</t>
  </si>
  <si>
    <t>TBC</t>
  </si>
  <si>
    <t>3.47</t>
  </si>
  <si>
    <t>3.19</t>
  </si>
  <si>
    <t>11.05</t>
  </si>
  <si>
    <t>4.42</t>
  </si>
  <si>
    <t>8.92</t>
  </si>
  <si>
    <t>7.78</t>
  </si>
  <si>
    <t>7.59</t>
  </si>
  <si>
    <t>14.26</t>
  </si>
  <si>
    <t>11.58</t>
  </si>
  <si>
    <t>8.42</t>
  </si>
  <si>
    <t>4.56</t>
  </si>
  <si>
    <t>4.73</t>
  </si>
  <si>
    <t>23.56</t>
  </si>
  <si>
    <t>4.43</t>
  </si>
  <si>
    <t>13.63</t>
  </si>
  <si>
    <t>10.17</t>
  </si>
  <si>
    <t>10172256</t>
  </si>
  <si>
    <t>10172257</t>
  </si>
  <si>
    <t>BO Board serial</t>
  </si>
  <si>
    <t>2cf7f1207290340e</t>
  </si>
  <si>
    <t>2cf7f12073100e80</t>
  </si>
  <si>
    <t>2cf7f12072901cf5</t>
  </si>
  <si>
    <t>2cf7f12073100ebc</t>
  </si>
  <si>
    <t>2cf7f12073100145</t>
  </si>
  <si>
    <t>2cf7f120729029f5</t>
  </si>
  <si>
    <t>2cf7f12073100d7c</t>
  </si>
  <si>
    <t>2cf7f120731005ba</t>
  </si>
  <si>
    <t>2cf7f12072903342</t>
  </si>
  <si>
    <t>2cf7f12072902d37</t>
  </si>
  <si>
    <t>2cf7f12072902ba2</t>
  </si>
  <si>
    <t>2cf7f12073100f68</t>
  </si>
  <si>
    <t>2cf7f12072903334</t>
  </si>
  <si>
    <t>2cf7f12072902d3a</t>
  </si>
  <si>
    <t>2cf7f120729020d2</t>
  </si>
  <si>
    <t>2cf7f12072901fa5</t>
  </si>
  <si>
    <t>2cf7f1207310074f</t>
  </si>
  <si>
    <t>54789040</t>
  </si>
  <si>
    <t>54789077</t>
  </si>
  <si>
    <t>54789045</t>
  </si>
  <si>
    <t>54789042</t>
  </si>
  <si>
    <t>54789038</t>
  </si>
  <si>
    <t>54789034</t>
  </si>
  <si>
    <t>54789048</t>
  </si>
  <si>
    <t>54789039</t>
  </si>
  <si>
    <t>54789037</t>
  </si>
  <si>
    <t>54789036</t>
  </si>
  <si>
    <t>54789041</t>
  </si>
  <si>
    <t>54789044</t>
  </si>
  <si>
    <t>54789047</t>
  </si>
  <si>
    <t>54789035</t>
  </si>
  <si>
    <t>54789043</t>
  </si>
  <si>
    <t>54789074</t>
  </si>
  <si>
    <t>54789075</t>
  </si>
  <si>
    <t>54789078</t>
  </si>
  <si>
    <t>54789076</t>
  </si>
  <si>
    <t>10596240</t>
  </si>
  <si>
    <t>10596298</t>
  </si>
  <si>
    <t>10596114</t>
  </si>
  <si>
    <t>10596225</t>
  </si>
  <si>
    <t>10596193</t>
  </si>
  <si>
    <t>10596208</t>
  </si>
  <si>
    <t>10596118</t>
  </si>
  <si>
    <t>10596201</t>
  </si>
  <si>
    <t>10596196</t>
  </si>
  <si>
    <t>10596182</t>
  </si>
  <si>
    <t>10596185</t>
  </si>
  <si>
    <t>10596239</t>
  </si>
  <si>
    <t>10596245</t>
  </si>
  <si>
    <t>10596269</t>
  </si>
  <si>
    <t>10596275</t>
  </si>
  <si>
    <t>10596214</t>
  </si>
  <si>
    <t>10596200</t>
  </si>
  <si>
    <t>10596276</t>
  </si>
  <si>
    <t>10596380</t>
  </si>
  <si>
    <t>10596282</t>
  </si>
  <si>
    <t>10596212</t>
  </si>
  <si>
    <t>10596210</t>
  </si>
  <si>
    <t>10596126</t>
  </si>
  <si>
    <t>10596206</t>
  </si>
  <si>
    <t>10596300</t>
  </si>
  <si>
    <t>10596211</t>
  </si>
  <si>
    <t>10596189</t>
  </si>
  <si>
    <t>10596229</t>
  </si>
  <si>
    <t>10596237</t>
  </si>
  <si>
    <t>10596377</t>
  </si>
  <si>
    <t>10596304</t>
  </si>
  <si>
    <t>10596231</t>
  </si>
  <si>
    <t>2cf7f12072903411</t>
  </si>
  <si>
    <t>2cf7f12072903bab</t>
  </si>
  <si>
    <t>2cf7f120729018c1</t>
  </si>
  <si>
    <t>2cf7f12072902fd1</t>
  </si>
  <si>
    <t>2cf7f12072903b79</t>
  </si>
  <si>
    <t>2cf7f120731008bf</t>
  </si>
  <si>
    <t>2cf7f12072902d12</t>
  </si>
  <si>
    <t>2cf7f12072901d88</t>
  </si>
  <si>
    <t>2cf7f12072901e3a</t>
  </si>
  <si>
    <t>10596295</t>
  </si>
  <si>
    <t>10596246</t>
  </si>
  <si>
    <t>10596197</t>
  </si>
  <si>
    <t xml:space="preserve">New meter serial </t>
  </si>
  <si>
    <t>New meter opening</t>
  </si>
  <si>
    <t>10596238</t>
  </si>
  <si>
    <t>10596306</t>
  </si>
  <si>
    <t>Faulty replaced twice</t>
  </si>
  <si>
    <t>10596198</t>
  </si>
  <si>
    <t>10596190</t>
  </si>
  <si>
    <t>10596292</t>
  </si>
  <si>
    <t>10596297</t>
  </si>
  <si>
    <t>10596218</t>
  </si>
  <si>
    <t>10596272</t>
  </si>
  <si>
    <t>10596233</t>
  </si>
  <si>
    <t>10596254</t>
  </si>
  <si>
    <t>10596307</t>
  </si>
  <si>
    <t>10596299</t>
  </si>
  <si>
    <t>10596247</t>
  </si>
  <si>
    <t>10596241</t>
  </si>
  <si>
    <t>Old Meter serial number</t>
  </si>
  <si>
    <t>10596188</t>
  </si>
  <si>
    <t>10596305</t>
  </si>
  <si>
    <t>10596175</t>
  </si>
  <si>
    <t>10596179</t>
  </si>
  <si>
    <t>10596183</t>
  </si>
  <si>
    <t>54789019</t>
  </si>
  <si>
    <t>10596176</t>
  </si>
  <si>
    <t>10596203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</si>
</sst>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7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Bauhaus 93"/>
      <family val="5"/>
    </font>
    <font>
      <sz val="12"/>
      <color theme="1"/>
      <name val="Bauhaus 93"/>
      <family val="5"/>
    </font>
    <font>
      <sz val="16"/>
      <color theme="1"/>
      <name val="Calibri"/>
      <family val="2"/>
    </font>
    <font>
      <sz val="11"/>
      <color indexed="8"/>
      <name val="Aptos Narrow"/>
      <family val="2"/>
      <charset val="1"/>
    </font>
    <font>
      <b/>
      <sz val="11"/>
      <color indexed="8"/>
      <name val="Aptos Narrow"/>
      <family val="2"/>
      <charset val="1"/>
    </font>
    <font>
      <sz val="11"/>
      <color indexed="17"/>
      <name val="Aptos Narrow"/>
      <family val="2"/>
      <charset val="1"/>
    </font>
    <font>
      <sz val="11"/>
      <name val="Aptos Narrow"/>
      <family val="2"/>
      <charset val="1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indexed="47"/>
        <bgColor indexed="31"/>
      </patternFill>
    </fill>
    <fill>
      <patternFill patternType="solid">
        <fgColor indexed="27"/>
        <bgColor indexed="42"/>
      </patternFill>
    </fill>
    <fill>
      <patternFill patternType="solid">
        <fgColor indexed="22"/>
        <bgColor indexed="44"/>
      </patternFill>
    </fill>
    <fill>
      <patternFill patternType="solid">
        <fgColor indexed="42"/>
        <bgColor indexed="27"/>
      </patternFill>
    </fill>
    <fill>
      <patternFill patternType="solid">
        <fgColor indexed="44"/>
        <bgColor indexed="49"/>
      </patternFill>
    </fill>
    <fill>
      <patternFill patternType="solid">
        <fgColor indexed="31"/>
        <bgColor indexed="42"/>
      </patternFill>
    </fill>
    <fill>
      <patternFill patternType="solid">
        <fgColor indexed="49"/>
        <bgColor indexed="24"/>
      </patternFill>
    </fill>
    <fill>
      <patternFill patternType="solid">
        <fgColor indexed="29"/>
        <bgColor indexed="53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7" fillId="0" borderId="0"/>
    <xf numFmtId="0" fontId="19" fillId="37" borderId="0"/>
  </cellStyleXfs>
  <cellXfs count="156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7" fillId="6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/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13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49" fontId="7" fillId="14" borderId="1" xfId="0" applyNumberFormat="1" applyFont="1" applyFill="1" applyBorder="1" applyAlignment="1">
      <alignment horizontal="center" vertical="center"/>
    </xf>
    <xf numFmtId="49" fontId="7" fillId="15" borderId="1" xfId="0" applyNumberFormat="1" applyFont="1" applyFill="1" applyBorder="1" applyAlignment="1">
      <alignment horizontal="center" vertical="center"/>
    </xf>
    <xf numFmtId="49" fontId="7" fillId="10" borderId="1" xfId="0" applyNumberFormat="1" applyFont="1" applyFill="1" applyBorder="1" applyAlignment="1">
      <alignment horizontal="center" vertical="center"/>
    </xf>
    <xf numFmtId="49" fontId="7" fillId="16" borderId="1" xfId="0" applyNumberFormat="1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/>
    </xf>
    <xf numFmtId="0" fontId="7" fillId="3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3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0" fillId="10" borderId="2" xfId="0" applyFill="1" applyBorder="1"/>
    <xf numFmtId="0" fontId="0" fillId="10" borderId="0" xfId="0" applyFill="1"/>
    <xf numFmtId="49" fontId="9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49" fontId="9" fillId="13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49" fontId="9" fillId="10" borderId="1" xfId="0" applyNumberFormat="1" applyFont="1" applyFill="1" applyBorder="1" applyAlignment="1">
      <alignment horizontal="center" vertical="center"/>
    </xf>
    <xf numFmtId="49" fontId="9" fillId="14" borderId="1" xfId="0" applyNumberFormat="1" applyFont="1" applyFill="1" applyBorder="1" applyAlignment="1">
      <alignment horizontal="center" vertical="center"/>
    </xf>
    <xf numFmtId="49" fontId="9" fillId="16" borderId="1" xfId="0" applyNumberFormat="1" applyFont="1" applyFill="1" applyBorder="1" applyAlignment="1">
      <alignment horizontal="center" vertical="center"/>
    </xf>
    <xf numFmtId="49" fontId="9" fillId="15" borderId="1" xfId="0" applyNumberFormat="1" applyFont="1" applyFill="1" applyBorder="1" applyAlignment="1">
      <alignment horizontal="center" vertical="center"/>
    </xf>
    <xf numFmtId="15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5" fontId="15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8" fillId="35" borderId="3" xfId="1" applyFont="1" applyFill="1" applyBorder="1" applyAlignment="1">
      <alignment horizontal="center" vertical="center"/>
    </xf>
    <xf numFmtId="0" fontId="17" fillId="0" borderId="4" xfId="1" applyBorder="1" applyAlignment="1">
      <alignment horizontal="center" vertical="center"/>
    </xf>
    <xf numFmtId="0" fontId="17" fillId="0" borderId="5" xfId="1" applyBorder="1" applyAlignment="1">
      <alignment horizontal="center" vertical="center"/>
    </xf>
    <xf numFmtId="0" fontId="17" fillId="36" borderId="4" xfId="1" applyFill="1" applyBorder="1" applyAlignment="1">
      <alignment horizontal="center" vertical="center"/>
    </xf>
    <xf numFmtId="0" fontId="20" fillId="0" borderId="5" xfId="2" applyFont="1" applyFill="1" applyBorder="1" applyAlignment="1">
      <alignment horizontal="center" vertical="center"/>
    </xf>
    <xf numFmtId="0" fontId="17" fillId="38" borderId="4" xfId="1" applyFill="1" applyBorder="1" applyAlignment="1">
      <alignment horizontal="center" vertical="center"/>
    </xf>
    <xf numFmtId="0" fontId="17" fillId="39" borderId="4" xfId="1" applyFill="1" applyBorder="1" applyAlignment="1">
      <alignment horizontal="center" vertical="center"/>
    </xf>
    <xf numFmtId="0" fontId="20" fillId="0" borderId="4" xfId="2" applyFont="1" applyFill="1" applyBorder="1" applyAlignment="1">
      <alignment horizontal="center" vertical="center"/>
    </xf>
    <xf numFmtId="0" fontId="20" fillId="38" borderId="4" xfId="2" applyFont="1" applyFill="1" applyBorder="1" applyAlignment="1">
      <alignment horizontal="center" vertical="center"/>
    </xf>
    <xf numFmtId="0" fontId="17" fillId="0" borderId="6" xfId="1" applyBorder="1" applyAlignment="1">
      <alignment horizontal="center" vertical="center"/>
    </xf>
    <xf numFmtId="0" fontId="17" fillId="0" borderId="3" xfId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8" fillId="35" borderId="4" xfId="1" applyFont="1" applyFill="1" applyBorder="1" applyAlignment="1">
      <alignment horizontal="center" vertical="center"/>
    </xf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8" xfId="1" applyBorder="1" applyAlignment="1">
      <alignment horizontal="center" vertical="center"/>
    </xf>
    <xf numFmtId="0" fontId="17" fillId="7" borderId="4" xfId="1" applyFill="1" applyBorder="1" applyAlignment="1">
      <alignment horizontal="center" vertical="center"/>
    </xf>
    <xf numFmtId="0" fontId="17" fillId="42" borderId="4" xfId="1" applyFill="1" applyBorder="1" applyAlignment="1">
      <alignment horizontal="center" vertical="center"/>
    </xf>
    <xf numFmtId="0" fontId="17" fillId="43" borderId="4" xfId="1" applyFill="1" applyBorder="1" applyAlignment="1">
      <alignment horizontal="center" vertical="center"/>
    </xf>
    <xf numFmtId="0" fontId="17" fillId="44" borderId="4" xfId="1" applyFill="1" applyBorder="1" applyAlignment="1">
      <alignment horizontal="center" vertical="center"/>
    </xf>
    <xf numFmtId="0" fontId="17" fillId="4" borderId="4" xfId="1" applyFill="1" applyBorder="1" applyAlignment="1">
      <alignment horizontal="center" vertical="center"/>
    </xf>
    <xf numFmtId="0" fontId="17" fillId="45" borderId="4" xfId="1" applyFill="1" applyBorder="1" applyAlignment="1">
      <alignment horizontal="center" vertical="center"/>
    </xf>
    <xf numFmtId="0" fontId="17" fillId="8" borderId="4" xfId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1" fillId="0" borderId="0" xfId="0" applyFont="1"/>
    <xf numFmtId="0" fontId="21" fillId="34" borderId="3" xfId="1" applyFont="1" applyFill="1" applyBorder="1" applyAlignment="1">
      <alignment horizontal="center" vertical="center"/>
    </xf>
    <xf numFmtId="0" fontId="22" fillId="0" borderId="8" xfId="1" applyFont="1" applyBorder="1" applyAlignment="1">
      <alignment horizontal="center" vertical="center"/>
    </xf>
    <xf numFmtId="0" fontId="23" fillId="0" borderId="8" xfId="2" applyFont="1" applyFill="1" applyBorder="1" applyAlignment="1">
      <alignment horizontal="center" vertical="center"/>
    </xf>
    <xf numFmtId="0" fontId="22" fillId="0" borderId="9" xfId="1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1" fillId="34" borderId="4" xfId="1" applyFont="1" applyFill="1" applyBorder="1" applyAlignment="1">
      <alignment horizontal="center" vertical="center"/>
    </xf>
    <xf numFmtId="0" fontId="21" fillId="40" borderId="4" xfId="1" applyFont="1" applyFill="1" applyBorder="1" applyAlignment="1">
      <alignment horizontal="center" vertical="center"/>
    </xf>
    <xf numFmtId="0" fontId="21" fillId="41" borderId="4" xfId="1" applyFont="1" applyFill="1" applyBorder="1" applyAlignment="1">
      <alignment horizontal="center" vertical="center"/>
    </xf>
    <xf numFmtId="0" fontId="21" fillId="35" borderId="4" xfId="1" applyFont="1" applyFill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7" fillId="0" borderId="4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4" xfId="0" applyFont="1" applyBorder="1"/>
    <xf numFmtId="0" fontId="8" fillId="0" borderId="11" xfId="0" applyFont="1" applyBorder="1" applyAlignment="1">
      <alignment vertical="center"/>
    </xf>
    <xf numFmtId="0" fontId="24" fillId="0" borderId="10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/>
    <xf numFmtId="0" fontId="6" fillId="0" borderId="4" xfId="0" applyFont="1" applyBorder="1" applyAlignment="1">
      <alignment horizontal="left" vertical="center"/>
    </xf>
    <xf numFmtId="0" fontId="6" fillId="0" borderId="4" xfId="0" applyFont="1" applyBorder="1"/>
    <xf numFmtId="0" fontId="0" fillId="0" borderId="4" xfId="0" applyBorder="1" applyAlignment="1">
      <alignment horizontal="left" vertical="center"/>
    </xf>
    <xf numFmtId="0" fontId="0" fillId="6" borderId="4" xfId="0" applyFill="1" applyBorder="1" applyAlignment="1">
      <alignment horizontal="center" vertical="center"/>
    </xf>
    <xf numFmtId="0" fontId="0" fillId="6" borderId="4" xfId="0" applyFill="1" applyBorder="1" applyAlignment="1">
      <alignment vertical="center" wrapText="1"/>
    </xf>
    <xf numFmtId="0" fontId="0" fillId="6" borderId="4" xfId="0" applyFill="1" applyBorder="1"/>
    <xf numFmtId="0" fontId="0" fillId="7" borderId="4" xfId="0" applyFill="1" applyBorder="1" applyAlignment="1">
      <alignment horizontal="center" vertical="center"/>
    </xf>
    <xf numFmtId="0" fontId="0" fillId="7" borderId="4" xfId="0" applyFill="1" applyBorder="1" applyAlignment="1">
      <alignment vertical="center" wrapText="1"/>
    </xf>
    <xf numFmtId="0" fontId="0" fillId="7" borderId="4" xfId="0" applyFill="1" applyBorder="1"/>
    <xf numFmtId="0" fontId="3" fillId="0" borderId="4" xfId="0" applyFont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0" fontId="3" fillId="2" borderId="4" xfId="0" applyFont="1" applyFill="1" applyBorder="1" applyAlignment="1">
      <alignment horizontal="left" vertical="center"/>
    </xf>
    <xf numFmtId="0" fontId="0" fillId="10" borderId="4" xfId="0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0" fillId="10" borderId="4" xfId="0" applyFill="1" applyBorder="1"/>
    <xf numFmtId="0" fontId="6" fillId="6" borderId="4" xfId="0" applyFont="1" applyFill="1" applyBorder="1"/>
    <xf numFmtId="0" fontId="6" fillId="6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9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7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5" fillId="0" borderId="1" xfId="0" applyFont="1" applyBorder="1" applyAlignment="1">
      <alignment horizontal="center"/>
    </xf>
    <xf numFmtId="49" fontId="26" fillId="0" borderId="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</cellXfs>
  <cellStyles count="3">
    <cellStyle name="Excel Built-in Good" xfId="2" xr:uid="{73A7683C-93AE-4DD2-A667-1D9B92981758}"/>
    <cellStyle name="Excel Built-in Normal" xfId="1" xr:uid="{EDB79C3E-33DC-4A47-B5C8-E4BE66ABEE17}"/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  <color rgb="FF0099CC"/>
      <color rgb="FFFFFF99"/>
      <color rgb="FF6600FF"/>
      <color rgb="FFCCFFFF"/>
      <color rgb="FF66FF33"/>
      <color rgb="FF993366"/>
      <color rgb="FFCCCC00"/>
      <color rgb="FFD6009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www.wps.cn/officeDocument/2023/relationships/customStorage" Target="customStorage/customStorag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9F803-2DDE-485F-989C-C0688D786923}">
  <dimension ref="A1:U192"/>
  <sheetViews>
    <sheetView topLeftCell="E1" zoomScale="85" zoomScaleNormal="85" workbookViewId="0">
      <pane ySplit="1" topLeftCell="A170" activePane="bottomLeft" state="frozen"/>
      <selection pane="bottomLeft" activeCell="C2" sqref="C2"/>
    </sheetView>
  </sheetViews>
  <sheetFormatPr defaultRowHeight="13.5" x14ac:dyDescent="0.3"/>
  <cols>
    <col min="1" max="1" width="17.3984375" style="5" bestFit="1" customWidth="1"/>
    <col min="2" max="2" width="9.73046875" style="5" bestFit="1" customWidth="1"/>
    <col min="3" max="3" width="14.3984375" style="5" bestFit="1" customWidth="1"/>
    <col min="4" max="4" width="15.265625" style="5" bestFit="1" customWidth="1"/>
    <col min="5" max="5" width="15.86328125" style="5" bestFit="1" customWidth="1"/>
    <col min="6" max="6" width="14.59765625" style="5" bestFit="1" customWidth="1"/>
    <col min="7" max="7" width="19.46484375" style="5" bestFit="1" customWidth="1"/>
    <col min="8" max="8" width="21.3984375" style="5" bestFit="1" customWidth="1"/>
    <col min="9" max="9" width="16.59765625" style="5" bestFit="1" customWidth="1"/>
    <col min="10" max="10" width="26.3984375" bestFit="1" customWidth="1"/>
    <col min="11" max="11" width="27.265625" style="5" bestFit="1" customWidth="1"/>
    <col min="12" max="12" width="16.59765625" customWidth="1"/>
    <col min="13" max="13" width="18.33203125" bestFit="1" customWidth="1"/>
    <col min="14" max="14" width="9.3984375" bestFit="1" customWidth="1"/>
    <col min="15" max="15" width="17.3984375" bestFit="1" customWidth="1"/>
    <col min="16" max="19" width="11.265625" bestFit="1" customWidth="1"/>
    <col min="20" max="20" width="16.86328125" bestFit="1" customWidth="1"/>
    <col min="21" max="21" width="21.1328125" bestFit="1" customWidth="1"/>
  </cols>
  <sheetData>
    <row r="1" spans="1:21" ht="15.7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3" t="s">
        <v>9</v>
      </c>
      <c r="K1" s="6" t="s">
        <v>10</v>
      </c>
      <c r="L1" s="47" t="s">
        <v>11</v>
      </c>
      <c r="M1" s="6" t="s">
        <v>1212</v>
      </c>
      <c r="N1" s="47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 t="s">
        <v>17</v>
      </c>
      <c r="T1" s="22" t="s">
        <v>1191</v>
      </c>
      <c r="U1" s="22" t="s">
        <v>1192</v>
      </c>
    </row>
    <row r="2" spans="1:21" ht="18.75" x14ac:dyDescent="0.3">
      <c r="A2" s="12" t="s">
        <v>18</v>
      </c>
      <c r="B2" s="27" t="s">
        <v>19</v>
      </c>
      <c r="C2" s="2">
        <v>14558068871</v>
      </c>
      <c r="D2" s="2">
        <v>82929684</v>
      </c>
      <c r="E2" s="2" t="s">
        <v>20</v>
      </c>
      <c r="F2" s="2" t="s">
        <v>21</v>
      </c>
      <c r="G2" s="2" t="s">
        <v>22</v>
      </c>
      <c r="H2" s="7" t="s">
        <v>23</v>
      </c>
      <c r="I2" s="36" t="s">
        <v>24</v>
      </c>
      <c r="J2" s="9">
        <v>0</v>
      </c>
      <c r="K2" s="4">
        <v>46206</v>
      </c>
      <c r="L2" s="11" t="b">
        <v>1</v>
      </c>
      <c r="M2" s="2" t="s">
        <v>1284</v>
      </c>
      <c r="N2" s="2">
        <v>6</v>
      </c>
      <c r="O2" s="64" t="s">
        <v>25</v>
      </c>
      <c r="P2" s="65">
        <v>46179</v>
      </c>
      <c r="Q2" s="65">
        <v>46186</v>
      </c>
      <c r="R2" s="65">
        <v>46202</v>
      </c>
      <c r="S2" s="65">
        <v>46207</v>
      </c>
      <c r="T2" s="136"/>
      <c r="U2" s="136"/>
    </row>
    <row r="3" spans="1:21" ht="18.75" x14ac:dyDescent="0.3">
      <c r="A3" s="12" t="s">
        <v>26</v>
      </c>
      <c r="B3" s="29" t="s">
        <v>27</v>
      </c>
      <c r="C3" s="2">
        <v>14558066198</v>
      </c>
      <c r="D3" s="2">
        <v>82929684</v>
      </c>
      <c r="E3" s="2" t="s">
        <v>20</v>
      </c>
      <c r="F3" s="2" t="s">
        <v>21</v>
      </c>
      <c r="G3" s="2" t="s">
        <v>22</v>
      </c>
      <c r="H3" s="7" t="s">
        <v>23</v>
      </c>
      <c r="I3" s="36" t="s">
        <v>24</v>
      </c>
      <c r="J3" s="9">
        <v>0</v>
      </c>
      <c r="K3" s="4">
        <v>46206</v>
      </c>
      <c r="L3" s="11" t="b">
        <v>1</v>
      </c>
      <c r="M3" s="2" t="s">
        <v>1284</v>
      </c>
      <c r="N3" s="2">
        <v>3</v>
      </c>
      <c r="O3" s="64" t="s">
        <v>28</v>
      </c>
      <c r="P3" s="65">
        <v>46167</v>
      </c>
      <c r="Q3" s="65">
        <v>46174</v>
      </c>
      <c r="R3" s="65">
        <v>46188</v>
      </c>
      <c r="S3" s="65">
        <v>46195</v>
      </c>
      <c r="T3" s="136"/>
      <c r="U3" s="136"/>
    </row>
    <row r="4" spans="1:21" ht="18.75" x14ac:dyDescent="0.3">
      <c r="A4" s="12" t="s">
        <v>29</v>
      </c>
      <c r="B4" s="27" t="s">
        <v>19</v>
      </c>
      <c r="C4" s="2">
        <v>14558066255</v>
      </c>
      <c r="D4" s="2">
        <v>82929684</v>
      </c>
      <c r="E4" s="2" t="s">
        <v>20</v>
      </c>
      <c r="F4" s="2" t="s">
        <v>21</v>
      </c>
      <c r="G4" s="2" t="s">
        <v>22</v>
      </c>
      <c r="H4" s="2" t="s">
        <v>30</v>
      </c>
      <c r="I4" s="36" t="s">
        <v>24</v>
      </c>
      <c r="J4" s="9">
        <v>0</v>
      </c>
      <c r="K4" s="4">
        <v>46206</v>
      </c>
      <c r="L4" s="11" t="b">
        <v>1</v>
      </c>
      <c r="M4" s="2" t="s">
        <v>1284</v>
      </c>
      <c r="N4" s="2">
        <v>5</v>
      </c>
      <c r="O4" s="64" t="s">
        <v>25</v>
      </c>
      <c r="P4" s="65">
        <v>46179</v>
      </c>
      <c r="Q4" s="65">
        <v>46186</v>
      </c>
      <c r="R4" s="65">
        <v>46202</v>
      </c>
      <c r="S4" s="65">
        <v>46207</v>
      </c>
      <c r="T4" s="136"/>
      <c r="U4" s="136"/>
    </row>
    <row r="5" spans="1:21" ht="18.75" x14ac:dyDescent="0.3">
      <c r="A5" s="12" t="s">
        <v>31</v>
      </c>
      <c r="B5" s="29" t="s">
        <v>27</v>
      </c>
      <c r="C5" s="2">
        <v>14558066115</v>
      </c>
      <c r="D5" s="2">
        <v>82929684</v>
      </c>
      <c r="E5" s="2" t="s">
        <v>20</v>
      </c>
      <c r="F5" s="2" t="s">
        <v>21</v>
      </c>
      <c r="G5" s="2" t="s">
        <v>22</v>
      </c>
      <c r="H5" s="2" t="s">
        <v>30</v>
      </c>
      <c r="I5" s="36" t="s">
        <v>24</v>
      </c>
      <c r="J5" s="9">
        <v>0</v>
      </c>
      <c r="K5" s="4">
        <v>46206</v>
      </c>
      <c r="L5" s="11" t="b">
        <v>1</v>
      </c>
      <c r="M5" s="2" t="s">
        <v>1284</v>
      </c>
      <c r="N5" s="2">
        <v>2</v>
      </c>
      <c r="O5" s="64" t="s">
        <v>28</v>
      </c>
      <c r="P5" s="65">
        <v>46167</v>
      </c>
      <c r="Q5" s="65">
        <v>46174</v>
      </c>
      <c r="R5" s="65">
        <v>46188</v>
      </c>
      <c r="S5" s="65">
        <v>46195</v>
      </c>
      <c r="T5" s="136"/>
      <c r="U5" s="136"/>
    </row>
    <row r="6" spans="1:21" ht="18.75" x14ac:dyDescent="0.3">
      <c r="A6" s="12" t="s">
        <v>32</v>
      </c>
      <c r="B6" s="27" t="s">
        <v>19</v>
      </c>
      <c r="C6" s="2">
        <v>14558068913</v>
      </c>
      <c r="D6" s="2">
        <v>82929684</v>
      </c>
      <c r="E6" s="2" t="s">
        <v>20</v>
      </c>
      <c r="F6" s="2" t="s">
        <v>21</v>
      </c>
      <c r="G6" s="2" t="s">
        <v>22</v>
      </c>
      <c r="H6" s="8" t="s">
        <v>33</v>
      </c>
      <c r="I6" s="36" t="s">
        <v>24</v>
      </c>
      <c r="J6" s="9">
        <v>0</v>
      </c>
      <c r="K6" s="4">
        <v>46206</v>
      </c>
      <c r="L6" s="11" t="b">
        <v>1</v>
      </c>
      <c r="M6" s="2" t="s">
        <v>1284</v>
      </c>
      <c r="N6" s="2">
        <v>4</v>
      </c>
      <c r="O6" s="64" t="s">
        <v>25</v>
      </c>
      <c r="P6" s="65">
        <v>46179</v>
      </c>
      <c r="Q6" s="65">
        <v>46186</v>
      </c>
      <c r="R6" s="65">
        <v>46202</v>
      </c>
      <c r="S6" s="65">
        <v>46207</v>
      </c>
      <c r="T6" s="136"/>
      <c r="U6" s="136"/>
    </row>
    <row r="7" spans="1:21" ht="18.75" x14ac:dyDescent="0.3">
      <c r="A7" s="12" t="s">
        <v>34</v>
      </c>
      <c r="B7" s="29" t="s">
        <v>27</v>
      </c>
      <c r="C7" s="2">
        <v>14558069010</v>
      </c>
      <c r="D7" s="2">
        <v>82929684</v>
      </c>
      <c r="E7" s="2" t="s">
        <v>20</v>
      </c>
      <c r="F7" s="2" t="s">
        <v>21</v>
      </c>
      <c r="G7" s="2" t="s">
        <v>22</v>
      </c>
      <c r="H7" s="8" t="s">
        <v>33</v>
      </c>
      <c r="I7" s="36" t="s">
        <v>24</v>
      </c>
      <c r="J7" s="9">
        <v>0</v>
      </c>
      <c r="K7" s="4">
        <v>46206</v>
      </c>
      <c r="L7" s="11" t="b">
        <v>1</v>
      </c>
      <c r="M7" s="2" t="s">
        <v>1284</v>
      </c>
      <c r="N7" s="2">
        <v>1</v>
      </c>
      <c r="O7" s="64" t="s">
        <v>28</v>
      </c>
      <c r="P7" s="65">
        <v>46167</v>
      </c>
      <c r="Q7" s="65">
        <v>46174</v>
      </c>
      <c r="R7" s="65">
        <v>46188</v>
      </c>
      <c r="S7" s="65">
        <v>46195</v>
      </c>
      <c r="T7" s="136"/>
      <c r="U7" s="136"/>
    </row>
    <row r="8" spans="1:21" ht="18.75" x14ac:dyDescent="0.3">
      <c r="A8" s="12" t="s">
        <v>35</v>
      </c>
      <c r="B8" s="29" t="s">
        <v>27</v>
      </c>
      <c r="C8" s="2">
        <v>14558069556</v>
      </c>
      <c r="D8" s="2">
        <v>71205556</v>
      </c>
      <c r="E8" s="2" t="s">
        <v>20</v>
      </c>
      <c r="F8" s="2" t="s">
        <v>21</v>
      </c>
      <c r="G8" s="2" t="s">
        <v>22</v>
      </c>
      <c r="H8" s="2" t="s">
        <v>30</v>
      </c>
      <c r="I8" s="30" t="s">
        <v>36</v>
      </c>
      <c r="J8" s="9">
        <v>0</v>
      </c>
      <c r="K8" s="4">
        <v>46224</v>
      </c>
      <c r="L8" s="11" t="b">
        <v>0</v>
      </c>
      <c r="M8" s="2" t="s">
        <v>1289</v>
      </c>
      <c r="N8" s="7">
        <v>5</v>
      </c>
      <c r="O8" s="64" t="s">
        <v>37</v>
      </c>
      <c r="P8" s="65">
        <v>46273</v>
      </c>
      <c r="Q8" s="65">
        <v>46280</v>
      </c>
      <c r="R8" s="65">
        <v>46295</v>
      </c>
      <c r="S8" s="65">
        <v>46301</v>
      </c>
      <c r="T8" s="136"/>
      <c r="U8" s="136"/>
    </row>
    <row r="9" spans="1:21" ht="18.75" x14ac:dyDescent="0.3">
      <c r="A9" s="12" t="s">
        <v>38</v>
      </c>
      <c r="B9" s="27" t="s">
        <v>19</v>
      </c>
      <c r="C9" s="2">
        <v>14558069721</v>
      </c>
      <c r="D9" s="2">
        <v>71205556</v>
      </c>
      <c r="E9" s="2" t="s">
        <v>20</v>
      </c>
      <c r="F9" s="2" t="s">
        <v>21</v>
      </c>
      <c r="G9" s="2" t="s">
        <v>22</v>
      </c>
      <c r="H9" s="7" t="s">
        <v>23</v>
      </c>
      <c r="I9" s="30" t="s">
        <v>36</v>
      </c>
      <c r="J9" s="9">
        <v>0</v>
      </c>
      <c r="K9" s="4">
        <v>46224</v>
      </c>
      <c r="L9" s="11" t="b">
        <v>0</v>
      </c>
      <c r="M9" s="2" t="s">
        <v>1289</v>
      </c>
      <c r="N9" s="7">
        <v>1</v>
      </c>
      <c r="O9" s="64" t="s">
        <v>39</v>
      </c>
      <c r="P9" s="65">
        <v>46259</v>
      </c>
      <c r="Q9" s="65">
        <v>46266</v>
      </c>
      <c r="R9" s="65">
        <v>46280</v>
      </c>
      <c r="S9" s="65">
        <v>46286</v>
      </c>
      <c r="T9" s="136"/>
      <c r="U9" s="136"/>
    </row>
    <row r="10" spans="1:21" ht="18.75" x14ac:dyDescent="0.3">
      <c r="A10" s="12" t="s">
        <v>40</v>
      </c>
      <c r="B10" s="29" t="s">
        <v>27</v>
      </c>
      <c r="C10" s="2">
        <v>14558068038</v>
      </c>
      <c r="D10" s="2">
        <v>71205556</v>
      </c>
      <c r="E10" s="2" t="s">
        <v>20</v>
      </c>
      <c r="F10" s="2" t="s">
        <v>21</v>
      </c>
      <c r="G10" s="2" t="s">
        <v>22</v>
      </c>
      <c r="H10" s="8" t="s">
        <v>33</v>
      </c>
      <c r="I10" s="30" t="s">
        <v>36</v>
      </c>
      <c r="J10" s="9">
        <v>0</v>
      </c>
      <c r="K10" s="4">
        <v>46224</v>
      </c>
      <c r="L10" s="11" t="b">
        <v>0</v>
      </c>
      <c r="M10" s="2" t="s">
        <v>1289</v>
      </c>
      <c r="N10" s="7">
        <v>6</v>
      </c>
      <c r="O10" s="64" t="s">
        <v>37</v>
      </c>
      <c r="P10" s="65">
        <v>46273</v>
      </c>
      <c r="Q10" s="65">
        <v>46280</v>
      </c>
      <c r="R10" s="65">
        <v>46295</v>
      </c>
      <c r="S10" s="65">
        <v>46301</v>
      </c>
      <c r="T10" s="136"/>
      <c r="U10" s="136"/>
    </row>
    <row r="11" spans="1:21" ht="18.75" x14ac:dyDescent="0.3">
      <c r="A11" s="12" t="s">
        <v>41</v>
      </c>
      <c r="B11" s="27" t="s">
        <v>19</v>
      </c>
      <c r="C11" s="2">
        <v>14558069135</v>
      </c>
      <c r="D11" s="2">
        <v>71205556</v>
      </c>
      <c r="E11" s="2" t="s">
        <v>20</v>
      </c>
      <c r="F11" s="2" t="s">
        <v>21</v>
      </c>
      <c r="G11" s="2" t="s">
        <v>22</v>
      </c>
      <c r="H11" s="2" t="s">
        <v>30</v>
      </c>
      <c r="I11" s="30" t="s">
        <v>36</v>
      </c>
      <c r="J11" s="9">
        <v>0</v>
      </c>
      <c r="K11" s="4">
        <v>46224</v>
      </c>
      <c r="L11" s="11" t="b">
        <v>0</v>
      </c>
      <c r="M11" s="2" t="s">
        <v>1289</v>
      </c>
      <c r="N11" s="7">
        <v>2</v>
      </c>
      <c r="O11" s="64" t="s">
        <v>39</v>
      </c>
      <c r="P11" s="65">
        <v>46259</v>
      </c>
      <c r="Q11" s="65">
        <v>46266</v>
      </c>
      <c r="R11" s="65">
        <v>46280</v>
      </c>
      <c r="S11" s="65">
        <v>46286</v>
      </c>
      <c r="T11" s="136"/>
      <c r="U11" s="136"/>
    </row>
    <row r="12" spans="1:21" ht="18.75" x14ac:dyDescent="0.3">
      <c r="A12" s="12" t="s">
        <v>42</v>
      </c>
      <c r="B12" s="29" t="s">
        <v>27</v>
      </c>
      <c r="C12" s="2">
        <v>14558068103</v>
      </c>
      <c r="D12" s="2">
        <v>71205556</v>
      </c>
      <c r="E12" s="2" t="s">
        <v>20</v>
      </c>
      <c r="F12" s="2" t="s">
        <v>21</v>
      </c>
      <c r="G12" s="2" t="s">
        <v>22</v>
      </c>
      <c r="H12" s="7" t="s">
        <v>23</v>
      </c>
      <c r="I12" s="30" t="s">
        <v>36</v>
      </c>
      <c r="J12" s="9">
        <v>0</v>
      </c>
      <c r="K12" s="4">
        <v>46224</v>
      </c>
      <c r="L12" s="11" t="b">
        <v>0</v>
      </c>
      <c r="M12" s="2" t="s">
        <v>1289</v>
      </c>
      <c r="N12" s="7">
        <v>7</v>
      </c>
      <c r="O12" s="64" t="s">
        <v>37</v>
      </c>
      <c r="P12" s="65">
        <v>46273</v>
      </c>
      <c r="Q12" s="65">
        <v>46280</v>
      </c>
      <c r="R12" s="65">
        <v>46295</v>
      </c>
      <c r="S12" s="65">
        <v>46301</v>
      </c>
      <c r="T12" s="136"/>
      <c r="U12" s="136"/>
    </row>
    <row r="13" spans="1:21" ht="18.75" x14ac:dyDescent="0.3">
      <c r="A13" s="12" t="s">
        <v>43</v>
      </c>
      <c r="B13" s="27" t="s">
        <v>19</v>
      </c>
      <c r="C13" s="2">
        <v>14558066354</v>
      </c>
      <c r="D13" s="2">
        <v>71205556</v>
      </c>
      <c r="E13" s="2" t="s">
        <v>20</v>
      </c>
      <c r="F13" s="2" t="s">
        <v>21</v>
      </c>
      <c r="G13" s="2" t="s">
        <v>22</v>
      </c>
      <c r="H13" s="8" t="s">
        <v>33</v>
      </c>
      <c r="I13" s="30" t="s">
        <v>36</v>
      </c>
      <c r="J13" s="9">
        <v>0</v>
      </c>
      <c r="K13" s="4">
        <v>46219</v>
      </c>
      <c r="L13" s="11" t="b">
        <v>0</v>
      </c>
      <c r="M13" s="2" t="s">
        <v>1289</v>
      </c>
      <c r="N13" s="7">
        <v>3</v>
      </c>
      <c r="O13" s="64" t="s">
        <v>39</v>
      </c>
      <c r="P13" s="65">
        <v>46259</v>
      </c>
      <c r="Q13" s="65">
        <v>46266</v>
      </c>
      <c r="R13" s="65">
        <v>46280</v>
      </c>
      <c r="S13" s="65">
        <v>46286</v>
      </c>
      <c r="T13" s="136"/>
      <c r="U13" s="136"/>
    </row>
    <row r="14" spans="1:21" ht="18.75" x14ac:dyDescent="0.3">
      <c r="A14" s="12" t="s">
        <v>44</v>
      </c>
      <c r="B14" s="27" t="s">
        <v>19</v>
      </c>
      <c r="C14" s="2">
        <v>14558069838</v>
      </c>
      <c r="D14" s="2">
        <v>71205556</v>
      </c>
      <c r="E14" s="2" t="s">
        <v>20</v>
      </c>
      <c r="F14" s="2" t="s">
        <v>21</v>
      </c>
      <c r="G14" s="2" t="s">
        <v>22</v>
      </c>
      <c r="H14" s="7" t="s">
        <v>23</v>
      </c>
      <c r="I14" s="30" t="s">
        <v>36</v>
      </c>
      <c r="J14" s="9">
        <v>0</v>
      </c>
      <c r="K14" s="4">
        <v>46224</v>
      </c>
      <c r="L14" s="11" t="b">
        <v>0</v>
      </c>
      <c r="M14" s="2" t="s">
        <v>1289</v>
      </c>
      <c r="N14" s="7">
        <v>4</v>
      </c>
      <c r="O14" s="64" t="s">
        <v>39</v>
      </c>
      <c r="P14" s="65">
        <v>46259</v>
      </c>
      <c r="Q14" s="65">
        <v>46266</v>
      </c>
      <c r="R14" s="65">
        <v>46280</v>
      </c>
      <c r="S14" s="65">
        <v>46286</v>
      </c>
      <c r="T14" s="136"/>
      <c r="U14" s="136"/>
    </row>
    <row r="15" spans="1:21" ht="18.75" x14ac:dyDescent="0.3">
      <c r="A15" s="12" t="s">
        <v>45</v>
      </c>
      <c r="B15" s="29" t="s">
        <v>27</v>
      </c>
      <c r="C15" s="2">
        <v>14558069812</v>
      </c>
      <c r="D15" s="2">
        <v>71205556</v>
      </c>
      <c r="E15" s="2" t="s">
        <v>20</v>
      </c>
      <c r="F15" s="2" t="s">
        <v>21</v>
      </c>
      <c r="G15" s="2" t="s">
        <v>22</v>
      </c>
      <c r="H15" s="2" t="s">
        <v>30</v>
      </c>
      <c r="I15" s="31" t="s">
        <v>46</v>
      </c>
      <c r="J15" s="9">
        <v>0</v>
      </c>
      <c r="K15" s="4">
        <v>46224</v>
      </c>
      <c r="L15" s="11" t="b">
        <v>0</v>
      </c>
      <c r="M15" s="2" t="s">
        <v>1288</v>
      </c>
      <c r="N15" s="7">
        <v>5</v>
      </c>
      <c r="O15" s="64" t="s">
        <v>37</v>
      </c>
      <c r="P15" s="65">
        <v>46273</v>
      </c>
      <c r="Q15" s="65">
        <v>46280</v>
      </c>
      <c r="R15" s="65">
        <v>46295</v>
      </c>
      <c r="S15" s="65">
        <v>46301</v>
      </c>
      <c r="T15" s="136"/>
      <c r="U15" s="136"/>
    </row>
    <row r="16" spans="1:21" ht="18.75" x14ac:dyDescent="0.3">
      <c r="A16" s="12" t="s">
        <v>47</v>
      </c>
      <c r="B16" s="29" t="s">
        <v>27</v>
      </c>
      <c r="C16" s="2">
        <v>14558069754</v>
      </c>
      <c r="D16" s="2">
        <v>71205556</v>
      </c>
      <c r="E16" s="2" t="s">
        <v>20</v>
      </c>
      <c r="F16" s="2" t="s">
        <v>21</v>
      </c>
      <c r="G16" s="2" t="s">
        <v>22</v>
      </c>
      <c r="H16" s="8" t="s">
        <v>33</v>
      </c>
      <c r="I16" s="31" t="s">
        <v>46</v>
      </c>
      <c r="J16" s="9">
        <v>0</v>
      </c>
      <c r="K16" s="4">
        <v>46224</v>
      </c>
      <c r="L16" s="11" t="b">
        <v>0</v>
      </c>
      <c r="M16" s="2" t="s">
        <v>1288</v>
      </c>
      <c r="N16" s="7">
        <v>6</v>
      </c>
      <c r="O16" s="64" t="s">
        <v>37</v>
      </c>
      <c r="P16" s="65">
        <v>46273</v>
      </c>
      <c r="Q16" s="65">
        <v>46280</v>
      </c>
      <c r="R16" s="65">
        <v>46295</v>
      </c>
      <c r="S16" s="65">
        <v>46301</v>
      </c>
      <c r="T16" s="136"/>
      <c r="U16" s="136"/>
    </row>
    <row r="17" spans="1:21" ht="18.75" x14ac:dyDescent="0.3">
      <c r="A17" s="12" t="s">
        <v>48</v>
      </c>
      <c r="B17" s="27" t="s">
        <v>19</v>
      </c>
      <c r="C17" s="2">
        <v>14558067931</v>
      </c>
      <c r="D17" s="2">
        <v>71205556</v>
      </c>
      <c r="E17" s="2" t="s">
        <v>20</v>
      </c>
      <c r="F17" s="2" t="s">
        <v>21</v>
      </c>
      <c r="G17" s="2" t="s">
        <v>22</v>
      </c>
      <c r="H17" s="7" t="s">
        <v>23</v>
      </c>
      <c r="I17" s="31" t="s">
        <v>46</v>
      </c>
      <c r="J17" s="9">
        <v>0</v>
      </c>
      <c r="K17" s="4">
        <v>46224</v>
      </c>
      <c r="L17" s="11" t="b">
        <v>0</v>
      </c>
      <c r="M17" s="2" t="s">
        <v>1288</v>
      </c>
      <c r="N17" s="7">
        <v>1</v>
      </c>
      <c r="O17" s="64" t="s">
        <v>39</v>
      </c>
      <c r="P17" s="65">
        <v>46259</v>
      </c>
      <c r="Q17" s="65">
        <v>46266</v>
      </c>
      <c r="R17" s="65">
        <v>46280</v>
      </c>
      <c r="S17" s="65">
        <v>46286</v>
      </c>
      <c r="T17" s="136"/>
      <c r="U17" s="136"/>
    </row>
    <row r="18" spans="1:21" ht="18.75" x14ac:dyDescent="0.3">
      <c r="A18" s="12" t="s">
        <v>49</v>
      </c>
      <c r="B18" s="29" t="s">
        <v>27</v>
      </c>
      <c r="C18" s="2">
        <v>14558069788</v>
      </c>
      <c r="D18" s="2">
        <v>71205556</v>
      </c>
      <c r="E18" s="2" t="s">
        <v>20</v>
      </c>
      <c r="F18" s="2" t="s">
        <v>21</v>
      </c>
      <c r="G18" s="2" t="s">
        <v>22</v>
      </c>
      <c r="H18" s="7" t="s">
        <v>23</v>
      </c>
      <c r="I18" s="31" t="s">
        <v>46</v>
      </c>
      <c r="J18" s="9">
        <v>0</v>
      </c>
      <c r="K18" s="4">
        <v>46224</v>
      </c>
      <c r="L18" s="11" t="b">
        <v>0</v>
      </c>
      <c r="M18" s="2" t="s">
        <v>1288</v>
      </c>
      <c r="N18" s="7">
        <v>7</v>
      </c>
      <c r="O18" s="64" t="s">
        <v>37</v>
      </c>
      <c r="P18" s="65">
        <v>46273</v>
      </c>
      <c r="Q18" s="65">
        <v>46280</v>
      </c>
      <c r="R18" s="65">
        <v>46295</v>
      </c>
      <c r="S18" s="65">
        <v>46301</v>
      </c>
      <c r="T18" s="136"/>
      <c r="U18" s="136"/>
    </row>
    <row r="19" spans="1:21" ht="18.75" x14ac:dyDescent="0.3">
      <c r="A19" s="12" t="s">
        <v>50</v>
      </c>
      <c r="B19" s="27" t="s">
        <v>19</v>
      </c>
      <c r="C19" s="2">
        <v>14558067956</v>
      </c>
      <c r="D19" s="2">
        <v>71205556</v>
      </c>
      <c r="E19" s="2" t="s">
        <v>20</v>
      </c>
      <c r="F19" s="2" t="s">
        <v>21</v>
      </c>
      <c r="G19" s="2" t="s">
        <v>22</v>
      </c>
      <c r="H19" s="2" t="s">
        <v>30</v>
      </c>
      <c r="I19" s="31" t="s">
        <v>46</v>
      </c>
      <c r="J19" s="9">
        <v>0</v>
      </c>
      <c r="K19" s="4">
        <v>46224</v>
      </c>
      <c r="L19" s="11" t="b">
        <v>0</v>
      </c>
      <c r="M19" s="2" t="s">
        <v>1288</v>
      </c>
      <c r="N19" s="7">
        <v>2</v>
      </c>
      <c r="O19" s="64" t="s">
        <v>39</v>
      </c>
      <c r="P19" s="65">
        <v>46259</v>
      </c>
      <c r="Q19" s="65">
        <v>46266</v>
      </c>
      <c r="R19" s="65">
        <v>46280</v>
      </c>
      <c r="S19" s="65">
        <v>46286</v>
      </c>
      <c r="T19" s="136"/>
      <c r="U19" s="136"/>
    </row>
    <row r="20" spans="1:21" ht="18.75" x14ac:dyDescent="0.3">
      <c r="A20" s="12" t="s">
        <v>51</v>
      </c>
      <c r="B20" s="29" t="s">
        <v>27</v>
      </c>
      <c r="C20" s="2">
        <v>14558069747</v>
      </c>
      <c r="D20" s="2">
        <v>71205556</v>
      </c>
      <c r="E20" s="2" t="s">
        <v>20</v>
      </c>
      <c r="F20" s="2" t="s">
        <v>21</v>
      </c>
      <c r="G20" s="2" t="s">
        <v>22</v>
      </c>
      <c r="H20" s="2" t="s">
        <v>30</v>
      </c>
      <c r="I20" s="31" t="s">
        <v>46</v>
      </c>
      <c r="J20" s="9">
        <v>0</v>
      </c>
      <c r="K20" s="4">
        <v>46224</v>
      </c>
      <c r="L20" s="11" t="b">
        <v>0</v>
      </c>
      <c r="M20" s="2" t="s">
        <v>1288</v>
      </c>
      <c r="N20" s="7">
        <v>8</v>
      </c>
      <c r="O20" s="64" t="s">
        <v>37</v>
      </c>
      <c r="P20" s="65">
        <v>46273</v>
      </c>
      <c r="Q20" s="65">
        <v>46280</v>
      </c>
      <c r="R20" s="65">
        <v>46295</v>
      </c>
      <c r="S20" s="65">
        <v>46301</v>
      </c>
      <c r="T20" s="136"/>
      <c r="U20" s="136"/>
    </row>
    <row r="21" spans="1:21" ht="18.75" x14ac:dyDescent="0.3">
      <c r="A21" s="12" t="s">
        <v>52</v>
      </c>
      <c r="B21" s="27" t="s">
        <v>19</v>
      </c>
      <c r="C21" s="2">
        <v>14558069879</v>
      </c>
      <c r="D21" s="2">
        <v>71205556</v>
      </c>
      <c r="E21" s="2" t="s">
        <v>20</v>
      </c>
      <c r="F21" s="2" t="s">
        <v>21</v>
      </c>
      <c r="G21" s="2" t="s">
        <v>22</v>
      </c>
      <c r="H21" s="8" t="s">
        <v>33</v>
      </c>
      <c r="I21" s="31" t="s">
        <v>46</v>
      </c>
      <c r="J21" s="9">
        <v>0</v>
      </c>
      <c r="K21" s="4">
        <v>46224</v>
      </c>
      <c r="L21" s="11" t="b">
        <v>0</v>
      </c>
      <c r="M21" s="2" t="s">
        <v>1288</v>
      </c>
      <c r="N21" s="7">
        <v>3</v>
      </c>
      <c r="O21" s="64" t="s">
        <v>39</v>
      </c>
      <c r="P21" s="65">
        <v>46259</v>
      </c>
      <c r="Q21" s="65">
        <v>46266</v>
      </c>
      <c r="R21" s="65">
        <v>46280</v>
      </c>
      <c r="S21" s="65">
        <v>46286</v>
      </c>
      <c r="T21" s="136"/>
      <c r="U21" s="136"/>
    </row>
    <row r="22" spans="1:21" ht="18.75" x14ac:dyDescent="0.3">
      <c r="A22" s="12" t="s">
        <v>53</v>
      </c>
      <c r="B22" s="27" t="s">
        <v>19</v>
      </c>
      <c r="C22" s="2">
        <v>14558069861</v>
      </c>
      <c r="D22" s="2">
        <v>71205556</v>
      </c>
      <c r="E22" s="2" t="s">
        <v>20</v>
      </c>
      <c r="F22" s="2" t="s">
        <v>21</v>
      </c>
      <c r="G22" s="2" t="s">
        <v>22</v>
      </c>
      <c r="H22" s="7" t="s">
        <v>23</v>
      </c>
      <c r="I22" s="31" t="s">
        <v>46</v>
      </c>
      <c r="J22" s="9">
        <v>0</v>
      </c>
      <c r="K22" s="4">
        <v>46224</v>
      </c>
      <c r="L22" s="11" t="b">
        <v>0</v>
      </c>
      <c r="M22" s="2" t="s">
        <v>1288</v>
      </c>
      <c r="N22" s="7">
        <v>4</v>
      </c>
      <c r="O22" s="64" t="s">
        <v>39</v>
      </c>
      <c r="P22" s="65">
        <v>46259</v>
      </c>
      <c r="Q22" s="65">
        <v>46266</v>
      </c>
      <c r="R22" s="65">
        <v>46280</v>
      </c>
      <c r="S22" s="65">
        <v>46286</v>
      </c>
      <c r="T22" s="136"/>
      <c r="U22" s="136"/>
    </row>
    <row r="23" spans="1:21" ht="18.75" x14ac:dyDescent="0.3">
      <c r="A23" s="12" t="s">
        <v>54</v>
      </c>
      <c r="B23" s="27" t="s">
        <v>19</v>
      </c>
      <c r="C23" s="2">
        <v>14558068920</v>
      </c>
      <c r="D23" s="2">
        <v>82929702</v>
      </c>
      <c r="E23" s="2" t="s">
        <v>20</v>
      </c>
      <c r="F23" s="2" t="s">
        <v>21</v>
      </c>
      <c r="G23" s="2" t="s">
        <v>22</v>
      </c>
      <c r="H23" s="7" t="s">
        <v>23</v>
      </c>
      <c r="I23" s="37" t="s">
        <v>55</v>
      </c>
      <c r="J23" s="9">
        <v>0</v>
      </c>
      <c r="K23" s="4">
        <v>46220</v>
      </c>
      <c r="L23" s="11" t="b">
        <v>0</v>
      </c>
      <c r="M23" s="2" t="s">
        <v>1287</v>
      </c>
      <c r="N23" s="7">
        <v>1</v>
      </c>
      <c r="O23" s="64" t="s">
        <v>56</v>
      </c>
      <c r="P23" s="65">
        <v>46226</v>
      </c>
      <c r="Q23" s="65">
        <v>46233</v>
      </c>
      <c r="R23" s="65">
        <v>46248</v>
      </c>
      <c r="S23" s="65">
        <v>46254</v>
      </c>
      <c r="T23" s="136"/>
      <c r="U23" s="136"/>
    </row>
    <row r="24" spans="1:21" ht="18.75" x14ac:dyDescent="0.3">
      <c r="A24" s="12" t="s">
        <v>57</v>
      </c>
      <c r="B24" s="27" t="s">
        <v>19</v>
      </c>
      <c r="C24" s="148">
        <v>14558069598</v>
      </c>
      <c r="D24" s="2">
        <v>82929702</v>
      </c>
      <c r="E24" s="2" t="s">
        <v>20</v>
      </c>
      <c r="F24" s="2" t="s">
        <v>21</v>
      </c>
      <c r="G24" s="2" t="s">
        <v>22</v>
      </c>
      <c r="H24" s="8" t="s">
        <v>33</v>
      </c>
      <c r="I24" s="37" t="s">
        <v>55</v>
      </c>
      <c r="J24" s="9">
        <v>0</v>
      </c>
      <c r="K24" s="4">
        <v>46220</v>
      </c>
      <c r="L24" s="11" t="b">
        <v>0</v>
      </c>
      <c r="M24" s="2" t="s">
        <v>1287</v>
      </c>
      <c r="N24" s="7">
        <v>7</v>
      </c>
      <c r="O24" s="64" t="s">
        <v>56</v>
      </c>
      <c r="P24" s="65">
        <v>46226</v>
      </c>
      <c r="Q24" s="65">
        <v>46233</v>
      </c>
      <c r="R24" s="65">
        <v>46248</v>
      </c>
      <c r="S24" s="65">
        <v>46254</v>
      </c>
      <c r="T24" s="136"/>
      <c r="U24" s="136"/>
    </row>
    <row r="25" spans="1:21" ht="18.75" x14ac:dyDescent="0.3">
      <c r="A25" s="12" t="s">
        <v>58</v>
      </c>
      <c r="B25" s="27" t="s">
        <v>19</v>
      </c>
      <c r="C25" s="2">
        <v>14558069770</v>
      </c>
      <c r="D25" s="2">
        <v>82929702</v>
      </c>
      <c r="E25" s="2" t="s">
        <v>20</v>
      </c>
      <c r="F25" s="2" t="s">
        <v>21</v>
      </c>
      <c r="G25" s="2" t="s">
        <v>22</v>
      </c>
      <c r="H25" s="7" t="s">
        <v>23</v>
      </c>
      <c r="I25" s="37" t="s">
        <v>55</v>
      </c>
      <c r="J25" s="9">
        <v>0</v>
      </c>
      <c r="K25" s="4">
        <v>46220</v>
      </c>
      <c r="L25" s="11" t="b">
        <v>0</v>
      </c>
      <c r="M25" s="2" t="s">
        <v>1287</v>
      </c>
      <c r="N25" s="7">
        <v>2</v>
      </c>
      <c r="O25" s="64" t="s">
        <v>56</v>
      </c>
      <c r="P25" s="65">
        <v>46226</v>
      </c>
      <c r="Q25" s="65">
        <v>46233</v>
      </c>
      <c r="R25" s="65">
        <v>46248</v>
      </c>
      <c r="S25" s="65">
        <v>46254</v>
      </c>
      <c r="T25" s="136"/>
      <c r="U25" s="136"/>
    </row>
    <row r="26" spans="1:21" ht="18.75" x14ac:dyDescent="0.3">
      <c r="A26" s="12" t="s">
        <v>59</v>
      </c>
      <c r="B26" s="27" t="s">
        <v>19</v>
      </c>
      <c r="C26" s="2">
        <v>14558067923</v>
      </c>
      <c r="D26" s="2">
        <v>82929702</v>
      </c>
      <c r="E26" s="2" t="s">
        <v>20</v>
      </c>
      <c r="F26" s="2" t="s">
        <v>21</v>
      </c>
      <c r="G26" s="2" t="s">
        <v>22</v>
      </c>
      <c r="H26" s="7" t="s">
        <v>23</v>
      </c>
      <c r="I26" s="37" t="s">
        <v>55</v>
      </c>
      <c r="J26" s="9">
        <v>0</v>
      </c>
      <c r="K26" s="4">
        <v>46220</v>
      </c>
      <c r="L26" s="11" t="b">
        <v>0</v>
      </c>
      <c r="M26" s="2" t="s">
        <v>1287</v>
      </c>
      <c r="N26" s="7">
        <v>3</v>
      </c>
      <c r="O26" s="64" t="s">
        <v>56</v>
      </c>
      <c r="P26" s="65">
        <v>46226</v>
      </c>
      <c r="Q26" s="65">
        <v>46233</v>
      </c>
      <c r="R26" s="65">
        <v>46248</v>
      </c>
      <c r="S26" s="65">
        <v>46254</v>
      </c>
      <c r="T26" s="136"/>
      <c r="U26" s="136"/>
    </row>
    <row r="27" spans="1:21" ht="18.75" x14ac:dyDescent="0.3">
      <c r="A27" s="12" t="s">
        <v>60</v>
      </c>
      <c r="B27" s="27" t="s">
        <v>19</v>
      </c>
      <c r="C27" s="2">
        <v>14558068137</v>
      </c>
      <c r="D27" s="2">
        <v>82929702</v>
      </c>
      <c r="E27" s="2" t="s">
        <v>20</v>
      </c>
      <c r="F27" s="2" t="s">
        <v>21</v>
      </c>
      <c r="G27" s="2" t="s">
        <v>22</v>
      </c>
      <c r="H27" s="8" t="s">
        <v>33</v>
      </c>
      <c r="I27" s="37" t="s">
        <v>55</v>
      </c>
      <c r="J27" s="9">
        <v>0</v>
      </c>
      <c r="K27" s="4">
        <v>46220</v>
      </c>
      <c r="L27" s="11" t="b">
        <v>0</v>
      </c>
      <c r="M27" s="2" t="s">
        <v>1287</v>
      </c>
      <c r="N27" s="7">
        <v>8</v>
      </c>
      <c r="O27" s="64" t="s">
        <v>56</v>
      </c>
      <c r="P27" s="65">
        <v>46226</v>
      </c>
      <c r="Q27" s="65">
        <v>46233</v>
      </c>
      <c r="R27" s="65">
        <v>46248</v>
      </c>
      <c r="S27" s="65">
        <v>46254</v>
      </c>
      <c r="T27" s="136"/>
      <c r="U27" s="136"/>
    </row>
    <row r="28" spans="1:21" ht="18.75" x14ac:dyDescent="0.3">
      <c r="A28" s="12" t="s">
        <v>61</v>
      </c>
      <c r="B28" s="27" t="s">
        <v>19</v>
      </c>
      <c r="C28" s="2">
        <v>14558067865</v>
      </c>
      <c r="D28" s="2">
        <v>82929702</v>
      </c>
      <c r="E28" s="2" t="s">
        <v>20</v>
      </c>
      <c r="F28" s="2" t="s">
        <v>21</v>
      </c>
      <c r="G28" s="2" t="s">
        <v>22</v>
      </c>
      <c r="H28" s="2" t="s">
        <v>30</v>
      </c>
      <c r="I28" s="37" t="s">
        <v>55</v>
      </c>
      <c r="J28" s="9">
        <v>0</v>
      </c>
      <c r="K28" s="4">
        <v>46220</v>
      </c>
      <c r="L28" s="11" t="b">
        <v>0</v>
      </c>
      <c r="M28" s="2" t="s">
        <v>1287</v>
      </c>
      <c r="N28" s="7">
        <v>4</v>
      </c>
      <c r="O28" s="64" t="s">
        <v>56</v>
      </c>
      <c r="P28" s="65">
        <v>46226</v>
      </c>
      <c r="Q28" s="65">
        <v>46233</v>
      </c>
      <c r="R28" s="65">
        <v>46248</v>
      </c>
      <c r="S28" s="65">
        <v>46254</v>
      </c>
      <c r="T28" s="136"/>
      <c r="U28" s="136"/>
    </row>
    <row r="29" spans="1:21" ht="18.75" x14ac:dyDescent="0.3">
      <c r="A29" s="12" t="s">
        <v>62</v>
      </c>
      <c r="B29" s="27" t="s">
        <v>19</v>
      </c>
      <c r="C29" s="2">
        <v>14558066081</v>
      </c>
      <c r="D29" s="2">
        <v>82929702</v>
      </c>
      <c r="E29" s="2" t="s">
        <v>20</v>
      </c>
      <c r="F29" s="2" t="s">
        <v>21</v>
      </c>
      <c r="G29" s="2" t="s">
        <v>22</v>
      </c>
      <c r="H29" s="2" t="s">
        <v>30</v>
      </c>
      <c r="I29" s="37" t="s">
        <v>55</v>
      </c>
      <c r="J29" s="9">
        <v>0</v>
      </c>
      <c r="K29" s="4">
        <v>46220</v>
      </c>
      <c r="L29" s="11" t="b">
        <v>0</v>
      </c>
      <c r="M29" s="2" t="s">
        <v>1287</v>
      </c>
      <c r="N29" s="7">
        <v>5</v>
      </c>
      <c r="O29" s="64" t="s">
        <v>56</v>
      </c>
      <c r="P29" s="65">
        <v>46226</v>
      </c>
      <c r="Q29" s="65">
        <v>46233</v>
      </c>
      <c r="R29" s="65">
        <v>46248</v>
      </c>
      <c r="S29" s="65">
        <v>46254</v>
      </c>
      <c r="T29" s="136"/>
      <c r="U29" s="136"/>
    </row>
    <row r="30" spans="1:21" ht="18.75" x14ac:dyDescent="0.3">
      <c r="A30" s="12" t="s">
        <v>63</v>
      </c>
      <c r="B30" s="27" t="s">
        <v>19</v>
      </c>
      <c r="C30" s="2">
        <v>14558068012</v>
      </c>
      <c r="D30" s="2">
        <v>82929702</v>
      </c>
      <c r="E30" s="2" t="s">
        <v>20</v>
      </c>
      <c r="F30" s="2" t="s">
        <v>21</v>
      </c>
      <c r="G30" s="2" t="s">
        <v>22</v>
      </c>
      <c r="H30" s="2" t="s">
        <v>30</v>
      </c>
      <c r="I30" s="37" t="s">
        <v>55</v>
      </c>
      <c r="J30" s="9">
        <v>0</v>
      </c>
      <c r="K30" s="4">
        <v>46220</v>
      </c>
      <c r="L30" s="11" t="b">
        <v>0</v>
      </c>
      <c r="M30" s="2" t="s">
        <v>1287</v>
      </c>
      <c r="N30" s="7">
        <v>6</v>
      </c>
      <c r="O30" s="64" t="s">
        <v>56</v>
      </c>
      <c r="P30" s="65">
        <v>46226</v>
      </c>
      <c r="Q30" s="65">
        <v>46233</v>
      </c>
      <c r="R30" s="65">
        <v>46248</v>
      </c>
      <c r="S30" s="65">
        <v>46254</v>
      </c>
      <c r="T30" s="136"/>
      <c r="U30" s="136"/>
    </row>
    <row r="31" spans="1:21" ht="18.75" x14ac:dyDescent="0.3">
      <c r="A31" s="12" t="s">
        <v>64</v>
      </c>
      <c r="B31" s="26" t="s">
        <v>65</v>
      </c>
      <c r="C31" s="2">
        <v>14558068855</v>
      </c>
      <c r="D31" s="2">
        <v>82929684</v>
      </c>
      <c r="E31" s="2" t="s">
        <v>20</v>
      </c>
      <c r="F31" s="2" t="s">
        <v>21</v>
      </c>
      <c r="G31" s="2" t="s">
        <v>22</v>
      </c>
      <c r="H31" s="7" t="s">
        <v>23</v>
      </c>
      <c r="I31" s="43" t="s">
        <v>66</v>
      </c>
      <c r="J31" s="9">
        <v>0</v>
      </c>
      <c r="K31" s="4">
        <v>46210</v>
      </c>
      <c r="L31" s="11" t="b">
        <v>0</v>
      </c>
      <c r="M31" s="2" t="s">
        <v>1213</v>
      </c>
      <c r="N31" s="7">
        <v>1</v>
      </c>
      <c r="O31" s="64" t="s">
        <v>67</v>
      </c>
      <c r="P31" s="65">
        <v>46224</v>
      </c>
      <c r="Q31" s="65">
        <v>46231</v>
      </c>
      <c r="R31" s="65">
        <v>46246</v>
      </c>
      <c r="S31" s="65">
        <v>46252</v>
      </c>
      <c r="T31" s="136"/>
      <c r="U31" s="136"/>
    </row>
    <row r="32" spans="1:21" ht="18.75" x14ac:dyDescent="0.3">
      <c r="A32" s="12" t="s">
        <v>68</v>
      </c>
      <c r="B32" s="26" t="s">
        <v>65</v>
      </c>
      <c r="C32" s="2">
        <v>14558066271</v>
      </c>
      <c r="D32" s="2">
        <v>82929684</v>
      </c>
      <c r="E32" s="2" t="s">
        <v>20</v>
      </c>
      <c r="F32" s="2" t="s">
        <v>21</v>
      </c>
      <c r="G32" s="2" t="s">
        <v>22</v>
      </c>
      <c r="H32" s="2" t="s">
        <v>30</v>
      </c>
      <c r="I32" s="43" t="s">
        <v>66</v>
      </c>
      <c r="J32" s="9">
        <v>0</v>
      </c>
      <c r="K32" s="4">
        <v>46210</v>
      </c>
      <c r="L32" s="11" t="b">
        <v>1</v>
      </c>
      <c r="M32" s="2" t="s">
        <v>1213</v>
      </c>
      <c r="N32" s="2">
        <v>2</v>
      </c>
      <c r="O32" s="64" t="s">
        <v>69</v>
      </c>
      <c r="P32" s="65">
        <v>46211</v>
      </c>
      <c r="Q32" s="65">
        <v>46218</v>
      </c>
      <c r="R32" s="65">
        <v>46232</v>
      </c>
      <c r="S32" s="65">
        <v>46238</v>
      </c>
      <c r="T32" s="136"/>
      <c r="U32" s="136"/>
    </row>
    <row r="33" spans="1:21" ht="18.75" x14ac:dyDescent="0.3">
      <c r="A33" s="12" t="s">
        <v>70</v>
      </c>
      <c r="B33" s="26" t="s">
        <v>65</v>
      </c>
      <c r="C33" s="2">
        <v>14558066230</v>
      </c>
      <c r="D33" s="2">
        <v>82929684</v>
      </c>
      <c r="E33" s="2" t="s">
        <v>20</v>
      </c>
      <c r="F33" s="2" t="s">
        <v>21</v>
      </c>
      <c r="G33" s="2" t="s">
        <v>22</v>
      </c>
      <c r="H33" s="8" t="s">
        <v>33</v>
      </c>
      <c r="I33" s="43" t="s">
        <v>66</v>
      </c>
      <c r="J33" s="9">
        <v>0</v>
      </c>
      <c r="K33" s="4">
        <v>46210</v>
      </c>
      <c r="L33" s="11" t="b">
        <v>1</v>
      </c>
      <c r="M33" s="2" t="s">
        <v>1213</v>
      </c>
      <c r="N33" s="2">
        <v>3</v>
      </c>
      <c r="O33" s="64" t="s">
        <v>69</v>
      </c>
      <c r="P33" s="65">
        <v>46211</v>
      </c>
      <c r="Q33" s="65">
        <v>46218</v>
      </c>
      <c r="R33" s="65">
        <v>46232</v>
      </c>
      <c r="S33" s="65">
        <v>46238</v>
      </c>
      <c r="T33" s="136"/>
      <c r="U33" s="136"/>
    </row>
    <row r="34" spans="1:21" ht="18.75" x14ac:dyDescent="0.3">
      <c r="A34" s="12" t="s">
        <v>71</v>
      </c>
      <c r="B34" s="26" t="s">
        <v>65</v>
      </c>
      <c r="C34" s="2">
        <v>14558066073</v>
      </c>
      <c r="D34" s="2">
        <v>82929684</v>
      </c>
      <c r="E34" s="2" t="s">
        <v>20</v>
      </c>
      <c r="F34" s="2" t="s">
        <v>21</v>
      </c>
      <c r="G34" s="2" t="s">
        <v>22</v>
      </c>
      <c r="H34" s="7" t="s">
        <v>23</v>
      </c>
      <c r="I34" s="43" t="s">
        <v>66</v>
      </c>
      <c r="J34" s="9">
        <v>0</v>
      </c>
      <c r="K34" s="4">
        <v>46210</v>
      </c>
      <c r="L34" s="11" t="b">
        <v>1</v>
      </c>
      <c r="M34" s="2" t="s">
        <v>1213</v>
      </c>
      <c r="N34" s="2">
        <v>4</v>
      </c>
      <c r="O34" s="64" t="s">
        <v>69</v>
      </c>
      <c r="P34" s="65">
        <v>46211</v>
      </c>
      <c r="Q34" s="65">
        <v>46218</v>
      </c>
      <c r="R34" s="65">
        <v>46232</v>
      </c>
      <c r="S34" s="65">
        <v>46238</v>
      </c>
      <c r="T34" s="136"/>
      <c r="U34" s="136"/>
    </row>
    <row r="35" spans="1:21" ht="18.75" x14ac:dyDescent="0.3">
      <c r="A35" s="12" t="s">
        <v>72</v>
      </c>
      <c r="B35" s="26" t="s">
        <v>65</v>
      </c>
      <c r="C35" s="2">
        <v>14558066172</v>
      </c>
      <c r="D35" s="2">
        <v>82929684</v>
      </c>
      <c r="E35" s="2" t="s">
        <v>20</v>
      </c>
      <c r="F35" s="2" t="s">
        <v>21</v>
      </c>
      <c r="G35" s="2" t="s">
        <v>22</v>
      </c>
      <c r="H35" s="2" t="s">
        <v>30</v>
      </c>
      <c r="I35" s="43" t="s">
        <v>66</v>
      </c>
      <c r="J35" s="9">
        <v>0</v>
      </c>
      <c r="K35" s="4">
        <v>46210</v>
      </c>
      <c r="L35" s="11" t="b">
        <v>1</v>
      </c>
      <c r="M35" s="2" t="s">
        <v>1213</v>
      </c>
      <c r="N35" s="2">
        <v>5</v>
      </c>
      <c r="O35" s="64" t="s">
        <v>69</v>
      </c>
      <c r="P35" s="65">
        <v>46211</v>
      </c>
      <c r="Q35" s="65">
        <v>46218</v>
      </c>
      <c r="R35" s="65">
        <v>46232</v>
      </c>
      <c r="S35" s="65">
        <v>46238</v>
      </c>
      <c r="T35" s="136"/>
      <c r="U35" s="136"/>
    </row>
    <row r="36" spans="1:21" ht="18.75" x14ac:dyDescent="0.3">
      <c r="A36" s="12" t="s">
        <v>73</v>
      </c>
      <c r="B36" s="26" t="s">
        <v>65</v>
      </c>
      <c r="C36" s="2">
        <v>14558068830</v>
      </c>
      <c r="D36" s="2">
        <v>82929684</v>
      </c>
      <c r="E36" s="2" t="s">
        <v>20</v>
      </c>
      <c r="F36" s="2" t="s">
        <v>21</v>
      </c>
      <c r="G36" s="2" t="s">
        <v>22</v>
      </c>
      <c r="H36" s="8" t="s">
        <v>33</v>
      </c>
      <c r="I36" s="43" t="s">
        <v>66</v>
      </c>
      <c r="J36" s="9">
        <v>0</v>
      </c>
      <c r="K36" s="4">
        <v>46210</v>
      </c>
      <c r="L36" s="11" t="b">
        <v>1</v>
      </c>
      <c r="M36" s="2" t="s">
        <v>1213</v>
      </c>
      <c r="N36" s="2">
        <v>6</v>
      </c>
      <c r="O36" s="64" t="s">
        <v>69</v>
      </c>
      <c r="P36" s="65">
        <v>46211</v>
      </c>
      <c r="Q36" s="65">
        <v>46218</v>
      </c>
      <c r="R36" s="65">
        <v>46232</v>
      </c>
      <c r="S36" s="65">
        <v>46238</v>
      </c>
      <c r="T36" s="136"/>
      <c r="U36" s="136"/>
    </row>
    <row r="37" spans="1:21" ht="18.75" x14ac:dyDescent="0.3">
      <c r="A37" s="12" t="s">
        <v>74</v>
      </c>
      <c r="B37" s="29" t="s">
        <v>27</v>
      </c>
      <c r="C37" s="2">
        <v>14558069432</v>
      </c>
      <c r="D37" s="2">
        <v>71205556</v>
      </c>
      <c r="E37" s="2" t="s">
        <v>20</v>
      </c>
      <c r="F37" s="2" t="s">
        <v>21</v>
      </c>
      <c r="G37" s="2" t="s">
        <v>22</v>
      </c>
      <c r="H37" s="2" t="s">
        <v>30</v>
      </c>
      <c r="I37" s="15" t="s">
        <v>75</v>
      </c>
      <c r="J37" s="9">
        <v>0</v>
      </c>
      <c r="K37" s="4">
        <v>46193</v>
      </c>
      <c r="L37" s="11" t="b">
        <v>0</v>
      </c>
      <c r="M37" s="2" t="s">
        <v>1214</v>
      </c>
      <c r="N37" s="7">
        <v>9</v>
      </c>
      <c r="O37" s="64" t="s">
        <v>76</v>
      </c>
      <c r="P37" s="65">
        <v>46227</v>
      </c>
      <c r="Q37" s="65">
        <v>46234</v>
      </c>
      <c r="R37" s="65">
        <v>46249</v>
      </c>
      <c r="S37" s="65">
        <v>46255</v>
      </c>
      <c r="T37" s="136"/>
      <c r="U37" s="136"/>
    </row>
    <row r="38" spans="1:21" ht="18.75" x14ac:dyDescent="0.3">
      <c r="A38" s="12" t="s">
        <v>77</v>
      </c>
      <c r="B38" s="29" t="s">
        <v>27</v>
      </c>
      <c r="C38" s="2">
        <v>14558068020</v>
      </c>
      <c r="D38" s="2">
        <v>71205556</v>
      </c>
      <c r="E38" s="2" t="s">
        <v>20</v>
      </c>
      <c r="F38" s="2" t="s">
        <v>21</v>
      </c>
      <c r="G38" s="2" t="s">
        <v>22</v>
      </c>
      <c r="H38" s="8" t="s">
        <v>33</v>
      </c>
      <c r="I38" s="15" t="s">
        <v>75</v>
      </c>
      <c r="J38" s="9">
        <v>0</v>
      </c>
      <c r="K38" s="4">
        <v>46193</v>
      </c>
      <c r="L38" s="11" t="b">
        <v>0</v>
      </c>
      <c r="M38" s="2" t="s">
        <v>1214</v>
      </c>
      <c r="N38" s="7">
        <v>6</v>
      </c>
      <c r="O38" s="64" t="s">
        <v>76</v>
      </c>
      <c r="P38" s="65">
        <v>46227</v>
      </c>
      <c r="Q38" s="65">
        <v>46234</v>
      </c>
      <c r="R38" s="65">
        <v>46249</v>
      </c>
      <c r="S38" s="65">
        <v>46255</v>
      </c>
      <c r="T38" s="136"/>
      <c r="U38" s="136"/>
    </row>
    <row r="39" spans="1:21" ht="18.75" x14ac:dyDescent="0.3">
      <c r="A39" s="12" t="s">
        <v>78</v>
      </c>
      <c r="B39" s="24" t="s">
        <v>79</v>
      </c>
      <c r="C39" s="2">
        <v>14558068111</v>
      </c>
      <c r="D39" s="2">
        <v>71205556</v>
      </c>
      <c r="E39" s="2" t="s">
        <v>20</v>
      </c>
      <c r="F39" s="2" t="s">
        <v>21</v>
      </c>
      <c r="G39" s="2" t="s">
        <v>22</v>
      </c>
      <c r="H39" s="8" t="s">
        <v>33</v>
      </c>
      <c r="I39" s="15" t="s">
        <v>75</v>
      </c>
      <c r="J39" s="9">
        <v>0</v>
      </c>
      <c r="K39" s="4">
        <v>46193</v>
      </c>
      <c r="L39" s="11" t="b">
        <v>1</v>
      </c>
      <c r="M39" s="2" t="s">
        <v>1214</v>
      </c>
      <c r="N39" s="2">
        <v>8</v>
      </c>
      <c r="O39" s="64" t="s">
        <v>80</v>
      </c>
      <c r="P39" s="65">
        <v>46125</v>
      </c>
      <c r="Q39" s="65">
        <v>46132</v>
      </c>
      <c r="R39" s="65">
        <v>46148</v>
      </c>
      <c r="S39" s="65">
        <v>46154</v>
      </c>
      <c r="T39" s="137">
        <v>46204.652083333334</v>
      </c>
      <c r="U39" s="138">
        <v>36.700000000000003</v>
      </c>
    </row>
    <row r="40" spans="1:21" ht="18.75" x14ac:dyDescent="0.3">
      <c r="A40" s="12" t="s">
        <v>81</v>
      </c>
      <c r="B40" s="29" t="s">
        <v>27</v>
      </c>
      <c r="C40" s="2">
        <v>14558069846</v>
      </c>
      <c r="D40" s="2">
        <v>71205556</v>
      </c>
      <c r="E40" s="2" t="s">
        <v>20</v>
      </c>
      <c r="F40" s="2" t="s">
        <v>21</v>
      </c>
      <c r="G40" s="2" t="s">
        <v>22</v>
      </c>
      <c r="H40" s="2" t="s">
        <v>30</v>
      </c>
      <c r="I40" s="15" t="s">
        <v>75</v>
      </c>
      <c r="J40" s="9">
        <v>0</v>
      </c>
      <c r="K40" s="4">
        <v>46193</v>
      </c>
      <c r="L40" s="11" t="b">
        <v>0</v>
      </c>
      <c r="M40" s="2" t="s">
        <v>1214</v>
      </c>
      <c r="N40" s="7">
        <v>5</v>
      </c>
      <c r="O40" s="64" t="s">
        <v>76</v>
      </c>
      <c r="P40" s="65">
        <v>46227</v>
      </c>
      <c r="Q40" s="65">
        <v>46234</v>
      </c>
      <c r="R40" s="65">
        <v>46249</v>
      </c>
      <c r="S40" s="65">
        <v>46255</v>
      </c>
      <c r="T40" s="136"/>
      <c r="U40" s="136"/>
    </row>
    <row r="41" spans="1:21" ht="18.75" x14ac:dyDescent="0.3">
      <c r="A41" s="12" t="s">
        <v>82</v>
      </c>
      <c r="B41" s="24" t="s">
        <v>79</v>
      </c>
      <c r="C41" s="2">
        <v>14558068152</v>
      </c>
      <c r="D41" s="2">
        <v>71205556</v>
      </c>
      <c r="E41" s="2" t="s">
        <v>20</v>
      </c>
      <c r="F41" s="2" t="s">
        <v>21</v>
      </c>
      <c r="G41" s="2" t="s">
        <v>22</v>
      </c>
      <c r="H41" s="7" t="s">
        <v>23</v>
      </c>
      <c r="I41" s="15" t="s">
        <v>75</v>
      </c>
      <c r="J41" s="9">
        <v>0</v>
      </c>
      <c r="K41" s="4">
        <v>46193</v>
      </c>
      <c r="L41" s="11" t="b">
        <v>1</v>
      </c>
      <c r="M41" s="2" t="s">
        <v>1214</v>
      </c>
      <c r="N41" s="2">
        <v>7</v>
      </c>
      <c r="O41" s="64" t="s">
        <v>80</v>
      </c>
      <c r="P41" s="65">
        <v>46125</v>
      </c>
      <c r="Q41" s="65">
        <v>46132</v>
      </c>
      <c r="R41" s="65">
        <v>46148</v>
      </c>
      <c r="S41" s="65">
        <v>46154</v>
      </c>
      <c r="T41" s="137">
        <v>46204.714583333334</v>
      </c>
      <c r="U41" s="138">
        <v>11.590999999999999</v>
      </c>
    </row>
    <row r="42" spans="1:21" ht="18.75" x14ac:dyDescent="0.3">
      <c r="A42" s="12" t="s">
        <v>83</v>
      </c>
      <c r="B42" s="29" t="s">
        <v>27</v>
      </c>
      <c r="C42" s="2">
        <v>14558069804</v>
      </c>
      <c r="D42" s="2">
        <v>71205556</v>
      </c>
      <c r="E42" s="2" t="s">
        <v>20</v>
      </c>
      <c r="F42" s="2" t="s">
        <v>21</v>
      </c>
      <c r="G42" s="2" t="s">
        <v>22</v>
      </c>
      <c r="H42" s="7" t="s">
        <v>23</v>
      </c>
      <c r="I42" s="15" t="s">
        <v>75</v>
      </c>
      <c r="J42" s="9">
        <v>0</v>
      </c>
      <c r="K42" s="4">
        <v>46193</v>
      </c>
      <c r="L42" s="11" t="b">
        <v>0</v>
      </c>
      <c r="M42" s="2" t="s">
        <v>1214</v>
      </c>
      <c r="N42" s="7">
        <v>4</v>
      </c>
      <c r="O42" s="64" t="s">
        <v>76</v>
      </c>
      <c r="P42" s="65">
        <v>46227</v>
      </c>
      <c r="Q42" s="65">
        <v>46234</v>
      </c>
      <c r="R42" s="65">
        <v>46249</v>
      </c>
      <c r="S42" s="65">
        <v>46255</v>
      </c>
      <c r="T42" s="136"/>
      <c r="U42" s="136"/>
    </row>
    <row r="43" spans="1:21" ht="18.75" x14ac:dyDescent="0.3">
      <c r="A43" s="12" t="s">
        <v>84</v>
      </c>
      <c r="B43" s="29" t="s">
        <v>27</v>
      </c>
      <c r="C43" s="2">
        <v>14558069671</v>
      </c>
      <c r="D43" s="2">
        <v>71205556</v>
      </c>
      <c r="E43" s="2" t="s">
        <v>20</v>
      </c>
      <c r="F43" s="2" t="s">
        <v>21</v>
      </c>
      <c r="G43" s="2" t="s">
        <v>22</v>
      </c>
      <c r="H43" s="8" t="s">
        <v>33</v>
      </c>
      <c r="I43" s="15" t="s">
        <v>75</v>
      </c>
      <c r="J43" s="9">
        <v>0</v>
      </c>
      <c r="K43" s="4">
        <v>46193</v>
      </c>
      <c r="L43" s="11" t="b">
        <v>0</v>
      </c>
      <c r="M43" s="2" t="s">
        <v>1214</v>
      </c>
      <c r="N43" s="7">
        <v>3</v>
      </c>
      <c r="O43" s="64" t="s">
        <v>76</v>
      </c>
      <c r="P43" s="65">
        <v>46227</v>
      </c>
      <c r="Q43" s="65">
        <v>46234</v>
      </c>
      <c r="R43" s="65">
        <v>46249</v>
      </c>
      <c r="S43" s="65">
        <v>46255</v>
      </c>
      <c r="T43" s="136"/>
      <c r="U43" s="136"/>
    </row>
    <row r="44" spans="1:21" ht="18.75" x14ac:dyDescent="0.3">
      <c r="A44" s="12" t="s">
        <v>85</v>
      </c>
      <c r="B44" s="29" t="s">
        <v>27</v>
      </c>
      <c r="C44" s="2">
        <v>14558067949</v>
      </c>
      <c r="D44" s="2">
        <v>71205556</v>
      </c>
      <c r="E44" s="2" t="s">
        <v>20</v>
      </c>
      <c r="F44" s="2" t="s">
        <v>21</v>
      </c>
      <c r="G44" s="2" t="s">
        <v>22</v>
      </c>
      <c r="H44" s="2" t="s">
        <v>30</v>
      </c>
      <c r="I44" s="15" t="s">
        <v>75</v>
      </c>
      <c r="J44" s="9">
        <v>0</v>
      </c>
      <c r="K44" s="4">
        <v>46193</v>
      </c>
      <c r="L44" s="11" t="b">
        <v>0</v>
      </c>
      <c r="M44" s="2" t="s">
        <v>1214</v>
      </c>
      <c r="N44" s="7">
        <v>2</v>
      </c>
      <c r="O44" s="64" t="s">
        <v>76</v>
      </c>
      <c r="P44" s="65">
        <v>46227</v>
      </c>
      <c r="Q44" s="65">
        <v>46234</v>
      </c>
      <c r="R44" s="65">
        <v>46249</v>
      </c>
      <c r="S44" s="65">
        <v>46255</v>
      </c>
      <c r="T44" s="136"/>
      <c r="U44" s="136"/>
    </row>
    <row r="45" spans="1:21" ht="18.75" x14ac:dyDescent="0.3">
      <c r="A45" s="12" t="s">
        <v>86</v>
      </c>
      <c r="B45" s="29" t="s">
        <v>27</v>
      </c>
      <c r="C45" s="2">
        <v>14558068335</v>
      </c>
      <c r="D45" s="2">
        <v>71205556</v>
      </c>
      <c r="E45" s="2" t="s">
        <v>20</v>
      </c>
      <c r="F45" s="2" t="s">
        <v>21</v>
      </c>
      <c r="G45" s="2" t="s">
        <v>22</v>
      </c>
      <c r="H45" s="7" t="s">
        <v>23</v>
      </c>
      <c r="I45" s="15" t="s">
        <v>75</v>
      </c>
      <c r="J45" s="9">
        <v>0</v>
      </c>
      <c r="K45" s="4">
        <v>46193</v>
      </c>
      <c r="L45" s="11" t="b">
        <v>1</v>
      </c>
      <c r="M45" s="2" t="s">
        <v>1214</v>
      </c>
      <c r="N45" s="2">
        <v>1</v>
      </c>
      <c r="O45" s="64" t="s">
        <v>76</v>
      </c>
      <c r="P45" s="65">
        <v>46227</v>
      </c>
      <c r="Q45" s="65">
        <v>46234</v>
      </c>
      <c r="R45" s="65">
        <v>46249</v>
      </c>
      <c r="S45" s="65">
        <v>46255</v>
      </c>
      <c r="T45" s="136"/>
      <c r="U45" s="136"/>
    </row>
    <row r="46" spans="1:21" ht="18.75" x14ac:dyDescent="0.3">
      <c r="A46" s="12" t="s">
        <v>87</v>
      </c>
      <c r="B46" s="27" t="s">
        <v>19</v>
      </c>
      <c r="C46" s="2">
        <v>14558069101</v>
      </c>
      <c r="D46" s="2">
        <v>82929702</v>
      </c>
      <c r="E46" s="2" t="s">
        <v>20</v>
      </c>
      <c r="F46" s="2" t="s">
        <v>21</v>
      </c>
      <c r="G46" s="2" t="s">
        <v>22</v>
      </c>
      <c r="H46" s="8" t="s">
        <v>33</v>
      </c>
      <c r="I46" s="38" t="s">
        <v>88</v>
      </c>
      <c r="J46" s="9">
        <v>0</v>
      </c>
      <c r="K46" s="4">
        <v>46220</v>
      </c>
      <c r="L46" s="11" t="b">
        <v>1</v>
      </c>
      <c r="M46" s="2" t="s">
        <v>1281</v>
      </c>
      <c r="N46" s="2">
        <v>6</v>
      </c>
      <c r="O46" s="64" t="s">
        <v>89</v>
      </c>
      <c r="P46" s="65">
        <v>46211</v>
      </c>
      <c r="Q46" s="65">
        <v>46218</v>
      </c>
      <c r="R46" s="65">
        <v>46232</v>
      </c>
      <c r="S46" s="65">
        <v>46238</v>
      </c>
      <c r="T46" s="136"/>
      <c r="U46" s="136"/>
    </row>
    <row r="47" spans="1:21" ht="18.75" x14ac:dyDescent="0.3">
      <c r="A47" s="12" t="s">
        <v>90</v>
      </c>
      <c r="B47" s="27" t="s">
        <v>19</v>
      </c>
      <c r="C47" s="2">
        <v>14558067980</v>
      </c>
      <c r="D47" s="2">
        <v>82929702</v>
      </c>
      <c r="E47" s="2" t="s">
        <v>20</v>
      </c>
      <c r="F47" s="2" t="s">
        <v>21</v>
      </c>
      <c r="G47" s="2" t="s">
        <v>22</v>
      </c>
      <c r="H47" s="7" t="s">
        <v>23</v>
      </c>
      <c r="I47" s="38" t="s">
        <v>88</v>
      </c>
      <c r="J47" s="9">
        <v>0</v>
      </c>
      <c r="K47" s="4">
        <v>46220</v>
      </c>
      <c r="L47" s="11" t="b">
        <v>0</v>
      </c>
      <c r="M47" s="2" t="s">
        <v>1281</v>
      </c>
      <c r="N47" s="7">
        <v>3</v>
      </c>
      <c r="O47" s="64" t="s">
        <v>89</v>
      </c>
      <c r="P47" s="65">
        <v>46211</v>
      </c>
      <c r="Q47" s="65">
        <v>46218</v>
      </c>
      <c r="R47" s="65">
        <v>46232</v>
      </c>
      <c r="S47" s="65">
        <v>46238</v>
      </c>
      <c r="T47" s="136"/>
      <c r="U47" s="136"/>
    </row>
    <row r="48" spans="1:21" ht="18.75" x14ac:dyDescent="0.3">
      <c r="A48" s="12" t="s">
        <v>91</v>
      </c>
      <c r="B48" s="27" t="s">
        <v>19</v>
      </c>
      <c r="C48" s="2">
        <v>14558067998</v>
      </c>
      <c r="D48" s="2">
        <v>82929702</v>
      </c>
      <c r="E48" s="2" t="s">
        <v>20</v>
      </c>
      <c r="F48" s="2" t="s">
        <v>21</v>
      </c>
      <c r="G48" s="2" t="s">
        <v>22</v>
      </c>
      <c r="H48" s="7" t="s">
        <v>23</v>
      </c>
      <c r="I48" s="38" t="s">
        <v>88</v>
      </c>
      <c r="J48" s="9">
        <v>0</v>
      </c>
      <c r="K48" s="4">
        <v>46220</v>
      </c>
      <c r="L48" s="11" t="b">
        <v>0</v>
      </c>
      <c r="M48" s="2" t="s">
        <v>1281</v>
      </c>
      <c r="N48" s="7">
        <v>2</v>
      </c>
      <c r="O48" s="64" t="s">
        <v>89</v>
      </c>
      <c r="P48" s="65">
        <v>46211</v>
      </c>
      <c r="Q48" s="65">
        <v>46218</v>
      </c>
      <c r="R48" s="65">
        <v>46232</v>
      </c>
      <c r="S48" s="65">
        <v>46238</v>
      </c>
      <c r="T48" s="136"/>
      <c r="U48" s="136"/>
    </row>
    <row r="49" spans="1:21" ht="18.75" x14ac:dyDescent="0.3">
      <c r="A49" s="12" t="s">
        <v>92</v>
      </c>
      <c r="B49" s="27" t="s">
        <v>19</v>
      </c>
      <c r="C49" s="2">
        <v>14558068350</v>
      </c>
      <c r="D49" s="2">
        <v>82929702</v>
      </c>
      <c r="E49" s="2" t="s">
        <v>20</v>
      </c>
      <c r="F49" s="2" t="s">
        <v>21</v>
      </c>
      <c r="G49" s="2" t="s">
        <v>22</v>
      </c>
      <c r="H49" s="7" t="s">
        <v>23</v>
      </c>
      <c r="I49" s="38" t="s">
        <v>88</v>
      </c>
      <c r="J49" s="9">
        <v>0</v>
      </c>
      <c r="K49" s="4">
        <v>46220</v>
      </c>
      <c r="L49" s="11" t="b">
        <v>0</v>
      </c>
      <c r="M49" s="2" t="s">
        <v>1281</v>
      </c>
      <c r="N49" s="7">
        <v>1</v>
      </c>
      <c r="O49" s="64" t="s">
        <v>89</v>
      </c>
      <c r="P49" s="65">
        <v>46211</v>
      </c>
      <c r="Q49" s="65">
        <v>46218</v>
      </c>
      <c r="R49" s="65">
        <v>46232</v>
      </c>
      <c r="S49" s="65">
        <v>46238</v>
      </c>
      <c r="T49" s="136"/>
      <c r="U49" s="136"/>
    </row>
    <row r="50" spans="1:21" ht="18.75" x14ac:dyDescent="0.3">
      <c r="A50" s="12" t="s">
        <v>93</v>
      </c>
      <c r="B50" s="27" t="s">
        <v>19</v>
      </c>
      <c r="C50" s="2">
        <v>14558069564</v>
      </c>
      <c r="D50" s="2">
        <v>82929702</v>
      </c>
      <c r="E50" s="2" t="s">
        <v>20</v>
      </c>
      <c r="F50" s="2" t="s">
        <v>21</v>
      </c>
      <c r="G50" s="2" t="s">
        <v>22</v>
      </c>
      <c r="H50" s="2" t="s">
        <v>30</v>
      </c>
      <c r="I50" s="38" t="s">
        <v>88</v>
      </c>
      <c r="J50" s="9">
        <v>0</v>
      </c>
      <c r="K50" s="4">
        <v>46220</v>
      </c>
      <c r="L50" s="11" t="b">
        <v>0</v>
      </c>
      <c r="M50" s="2" t="s">
        <v>1281</v>
      </c>
      <c r="N50" s="7">
        <v>5</v>
      </c>
      <c r="O50" s="64" t="s">
        <v>89</v>
      </c>
      <c r="P50" s="65">
        <v>46211</v>
      </c>
      <c r="Q50" s="65">
        <v>46218</v>
      </c>
      <c r="R50" s="65">
        <v>46232</v>
      </c>
      <c r="S50" s="65">
        <v>46238</v>
      </c>
      <c r="T50" s="136"/>
      <c r="U50" s="136"/>
    </row>
    <row r="51" spans="1:21" ht="18.75" x14ac:dyDescent="0.3">
      <c r="A51" s="12" t="s">
        <v>94</v>
      </c>
      <c r="B51" s="27" t="s">
        <v>19</v>
      </c>
      <c r="C51" s="2">
        <v>14558068129</v>
      </c>
      <c r="D51" s="2">
        <v>82929702</v>
      </c>
      <c r="E51" s="2" t="s">
        <v>20</v>
      </c>
      <c r="F51" s="2" t="s">
        <v>21</v>
      </c>
      <c r="G51" s="2" t="s">
        <v>22</v>
      </c>
      <c r="H51" s="8" t="s">
        <v>33</v>
      </c>
      <c r="I51" s="38" t="s">
        <v>88</v>
      </c>
      <c r="J51" s="9">
        <v>0</v>
      </c>
      <c r="K51" s="4">
        <v>46220</v>
      </c>
      <c r="L51" s="11" t="b">
        <v>0</v>
      </c>
      <c r="M51" s="2" t="s">
        <v>1281</v>
      </c>
      <c r="N51" s="7">
        <v>7</v>
      </c>
      <c r="O51" s="64" t="s">
        <v>89</v>
      </c>
      <c r="P51" s="65">
        <v>46211</v>
      </c>
      <c r="Q51" s="65">
        <v>46218</v>
      </c>
      <c r="R51" s="65">
        <v>46232</v>
      </c>
      <c r="S51" s="65">
        <v>46238</v>
      </c>
      <c r="T51" s="136"/>
      <c r="U51" s="136"/>
    </row>
    <row r="52" spans="1:21" ht="18.75" x14ac:dyDescent="0.3">
      <c r="A52" s="12" t="s">
        <v>95</v>
      </c>
      <c r="B52" s="27" t="s">
        <v>19</v>
      </c>
      <c r="C52" s="2">
        <v>14558068087</v>
      </c>
      <c r="D52" s="2">
        <v>82929702</v>
      </c>
      <c r="E52" s="2" t="s">
        <v>20</v>
      </c>
      <c r="F52" s="2" t="s">
        <v>21</v>
      </c>
      <c r="G52" s="2" t="s">
        <v>22</v>
      </c>
      <c r="H52" s="2" t="s">
        <v>30</v>
      </c>
      <c r="I52" s="38" t="s">
        <v>88</v>
      </c>
      <c r="J52" s="9">
        <v>0</v>
      </c>
      <c r="K52" s="4">
        <v>46220</v>
      </c>
      <c r="L52" s="11" t="b">
        <v>0</v>
      </c>
      <c r="M52" s="2" t="s">
        <v>1281</v>
      </c>
      <c r="N52" s="7">
        <v>4</v>
      </c>
      <c r="O52" s="64" t="s">
        <v>89</v>
      </c>
      <c r="P52" s="65">
        <v>46211</v>
      </c>
      <c r="Q52" s="65">
        <v>46218</v>
      </c>
      <c r="R52" s="65">
        <v>46232</v>
      </c>
      <c r="S52" s="65">
        <v>46238</v>
      </c>
      <c r="T52" s="136"/>
      <c r="U52" s="136"/>
    </row>
    <row r="53" spans="1:21" ht="18.75" x14ac:dyDescent="0.3">
      <c r="A53" s="12" t="s">
        <v>96</v>
      </c>
      <c r="B53" s="26" t="s">
        <v>65</v>
      </c>
      <c r="C53" s="2">
        <v>14558068954</v>
      </c>
      <c r="D53" s="2">
        <v>82929684</v>
      </c>
      <c r="E53" s="2" t="s">
        <v>20</v>
      </c>
      <c r="F53" s="2" t="s">
        <v>21</v>
      </c>
      <c r="G53" s="2" t="s">
        <v>22</v>
      </c>
      <c r="H53" s="7" t="s">
        <v>23</v>
      </c>
      <c r="I53" s="42" t="s">
        <v>97</v>
      </c>
      <c r="J53" s="9">
        <v>0</v>
      </c>
      <c r="K53" s="4">
        <v>46198</v>
      </c>
      <c r="L53" s="11" t="b">
        <v>1</v>
      </c>
      <c r="M53" s="2" t="s">
        <v>1215</v>
      </c>
      <c r="N53" s="2">
        <v>3</v>
      </c>
      <c r="O53" s="64" t="s">
        <v>98</v>
      </c>
      <c r="P53" s="65">
        <v>46190</v>
      </c>
      <c r="Q53" s="65">
        <v>46197</v>
      </c>
      <c r="R53" s="65">
        <v>46211</v>
      </c>
      <c r="S53" s="65">
        <v>46217</v>
      </c>
      <c r="T53" s="139">
        <v>46234</v>
      </c>
      <c r="U53" s="136" t="s">
        <v>1193</v>
      </c>
    </row>
    <row r="54" spans="1:21" ht="18.75" x14ac:dyDescent="0.3">
      <c r="A54" s="12" t="s">
        <v>99</v>
      </c>
      <c r="B54" s="26" t="s">
        <v>65</v>
      </c>
      <c r="C54" s="2">
        <v>14558068764</v>
      </c>
      <c r="D54" s="2">
        <v>82929684</v>
      </c>
      <c r="E54" s="2" t="s">
        <v>20</v>
      </c>
      <c r="F54" s="2" t="s">
        <v>21</v>
      </c>
      <c r="G54" s="2" t="s">
        <v>22</v>
      </c>
      <c r="H54" s="2" t="s">
        <v>30</v>
      </c>
      <c r="I54" s="42" t="s">
        <v>97</v>
      </c>
      <c r="J54" s="9">
        <v>0</v>
      </c>
      <c r="K54" s="4">
        <v>46198</v>
      </c>
      <c r="L54" s="11" t="b">
        <v>1</v>
      </c>
      <c r="M54" s="2" t="s">
        <v>1215</v>
      </c>
      <c r="N54" s="2">
        <v>4</v>
      </c>
      <c r="O54" s="64" t="s">
        <v>98</v>
      </c>
      <c r="P54" s="65">
        <v>46190</v>
      </c>
      <c r="Q54" s="65">
        <v>46197</v>
      </c>
      <c r="R54" s="65">
        <v>46211</v>
      </c>
      <c r="S54" s="65">
        <v>46217</v>
      </c>
      <c r="T54" s="139">
        <v>46234</v>
      </c>
      <c r="U54" s="136" t="s">
        <v>1193</v>
      </c>
    </row>
    <row r="55" spans="1:21" ht="18.75" x14ac:dyDescent="0.3">
      <c r="A55" s="12" t="s">
        <v>100</v>
      </c>
      <c r="B55" s="26" t="s">
        <v>65</v>
      </c>
      <c r="C55" s="2">
        <v>14558068822</v>
      </c>
      <c r="D55" s="2">
        <v>82929684</v>
      </c>
      <c r="E55" s="2" t="s">
        <v>20</v>
      </c>
      <c r="F55" s="2" t="s">
        <v>21</v>
      </c>
      <c r="G55" s="2" t="s">
        <v>22</v>
      </c>
      <c r="H55" s="8" t="s">
        <v>33</v>
      </c>
      <c r="I55" s="42" t="s">
        <v>97</v>
      </c>
      <c r="J55" s="9">
        <v>0</v>
      </c>
      <c r="K55" s="4">
        <v>46198</v>
      </c>
      <c r="L55" s="11" t="b">
        <v>1</v>
      </c>
      <c r="M55" s="2" t="s">
        <v>1215</v>
      </c>
      <c r="N55" s="2">
        <v>5</v>
      </c>
      <c r="O55" s="64" t="s">
        <v>98</v>
      </c>
      <c r="P55" s="65">
        <v>46190</v>
      </c>
      <c r="Q55" s="65">
        <v>46197</v>
      </c>
      <c r="R55" s="65">
        <v>46211</v>
      </c>
      <c r="S55" s="65">
        <v>46217</v>
      </c>
      <c r="T55" s="139">
        <v>46234</v>
      </c>
      <c r="U55" s="136" t="s">
        <v>1193</v>
      </c>
    </row>
    <row r="56" spans="1:21" ht="18.75" x14ac:dyDescent="0.3">
      <c r="A56" s="12" t="s">
        <v>101</v>
      </c>
      <c r="B56" s="26" t="s">
        <v>65</v>
      </c>
      <c r="C56" s="2">
        <v>14558068848</v>
      </c>
      <c r="D56" s="2">
        <v>82929684</v>
      </c>
      <c r="E56" s="2" t="s">
        <v>20</v>
      </c>
      <c r="F56" s="2" t="s">
        <v>21</v>
      </c>
      <c r="G56" s="2" t="s">
        <v>22</v>
      </c>
      <c r="H56" s="7" t="s">
        <v>23</v>
      </c>
      <c r="I56" s="42" t="s">
        <v>97</v>
      </c>
      <c r="J56" s="9">
        <v>0</v>
      </c>
      <c r="K56" s="4">
        <v>46198</v>
      </c>
      <c r="L56" s="11" t="b">
        <v>1</v>
      </c>
      <c r="M56" s="2" t="s">
        <v>1215</v>
      </c>
      <c r="N56" s="2">
        <v>1</v>
      </c>
      <c r="O56" s="64" t="s">
        <v>98</v>
      </c>
      <c r="P56" s="65">
        <v>46190</v>
      </c>
      <c r="Q56" s="65">
        <v>46197</v>
      </c>
      <c r="R56" s="65">
        <v>46211</v>
      </c>
      <c r="S56" s="65">
        <v>46217</v>
      </c>
      <c r="T56" s="139">
        <v>46234</v>
      </c>
      <c r="U56" s="136" t="s">
        <v>1193</v>
      </c>
    </row>
    <row r="57" spans="1:21" ht="18.75" x14ac:dyDescent="0.3">
      <c r="A57" s="12" t="s">
        <v>240</v>
      </c>
      <c r="B57" s="26" t="s">
        <v>65</v>
      </c>
      <c r="C57" s="2">
        <v>14558068806</v>
      </c>
      <c r="D57" s="2">
        <v>71205556</v>
      </c>
      <c r="E57" s="2" t="s">
        <v>20</v>
      </c>
      <c r="F57" s="2" t="s">
        <v>21</v>
      </c>
      <c r="G57" s="2" t="s">
        <v>22</v>
      </c>
      <c r="H57" s="8" t="s">
        <v>33</v>
      </c>
      <c r="I57" s="42" t="s">
        <v>97</v>
      </c>
      <c r="J57" s="9">
        <v>0</v>
      </c>
      <c r="K57" s="4">
        <v>46198</v>
      </c>
      <c r="L57" s="11" t="b">
        <v>1</v>
      </c>
      <c r="M57" s="2" t="s">
        <v>1215</v>
      </c>
      <c r="N57" s="2">
        <v>8</v>
      </c>
      <c r="O57" s="64" t="s">
        <v>242</v>
      </c>
      <c r="P57" s="65">
        <v>46175</v>
      </c>
      <c r="Q57" s="65">
        <v>46182</v>
      </c>
      <c r="R57" s="65">
        <v>46197</v>
      </c>
      <c r="S57" s="65">
        <v>46203</v>
      </c>
      <c r="T57" s="139">
        <v>46234</v>
      </c>
      <c r="U57" s="136" t="s">
        <v>1193</v>
      </c>
    </row>
    <row r="58" spans="1:21" ht="18.75" x14ac:dyDescent="0.3">
      <c r="A58" s="12" t="s">
        <v>102</v>
      </c>
      <c r="B58" s="26" t="s">
        <v>65</v>
      </c>
      <c r="C58" s="2">
        <v>14558069291</v>
      </c>
      <c r="D58" s="2">
        <v>82929684</v>
      </c>
      <c r="E58" s="2" t="s">
        <v>20</v>
      </c>
      <c r="F58" s="2" t="s">
        <v>21</v>
      </c>
      <c r="G58" s="2" t="s">
        <v>22</v>
      </c>
      <c r="H58" s="7" t="s">
        <v>23</v>
      </c>
      <c r="I58" s="42" t="s">
        <v>97</v>
      </c>
      <c r="J58" s="9">
        <v>0</v>
      </c>
      <c r="K58" s="4">
        <v>46198</v>
      </c>
      <c r="L58" s="11" t="b">
        <v>1</v>
      </c>
      <c r="M58" s="2" t="s">
        <v>1215</v>
      </c>
      <c r="N58" s="2">
        <v>6</v>
      </c>
      <c r="O58" s="64" t="s">
        <v>69</v>
      </c>
      <c r="P58" s="65">
        <v>46211</v>
      </c>
      <c r="Q58" s="65">
        <v>46218</v>
      </c>
      <c r="R58" s="65">
        <v>46232</v>
      </c>
      <c r="S58" s="65">
        <v>46238</v>
      </c>
      <c r="T58" s="136"/>
      <c r="U58" s="136"/>
    </row>
    <row r="59" spans="1:21" ht="18.75" x14ac:dyDescent="0.3">
      <c r="A59" s="12" t="s">
        <v>103</v>
      </c>
      <c r="B59" s="26" t="s">
        <v>65</v>
      </c>
      <c r="C59" s="2">
        <v>14558069036</v>
      </c>
      <c r="D59" s="2">
        <v>82929684</v>
      </c>
      <c r="E59" s="2" t="s">
        <v>20</v>
      </c>
      <c r="F59" s="2" t="s">
        <v>21</v>
      </c>
      <c r="G59" s="2" t="s">
        <v>22</v>
      </c>
      <c r="H59" s="2" t="s">
        <v>30</v>
      </c>
      <c r="I59" s="42" t="s">
        <v>97</v>
      </c>
      <c r="J59" s="9">
        <v>0</v>
      </c>
      <c r="K59" s="4">
        <v>46198</v>
      </c>
      <c r="L59" s="11" t="b">
        <v>1</v>
      </c>
      <c r="M59" s="2" t="s">
        <v>1215</v>
      </c>
      <c r="N59" s="2">
        <v>7</v>
      </c>
      <c r="O59" s="64" t="s">
        <v>69</v>
      </c>
      <c r="P59" s="65">
        <v>46211</v>
      </c>
      <c r="Q59" s="65">
        <v>46218</v>
      </c>
      <c r="R59" s="65">
        <v>46232</v>
      </c>
      <c r="S59" s="65">
        <v>46238</v>
      </c>
      <c r="T59" s="136"/>
      <c r="U59" s="136"/>
    </row>
    <row r="60" spans="1:21" ht="18.75" x14ac:dyDescent="0.3">
      <c r="A60" s="12" t="s">
        <v>104</v>
      </c>
      <c r="B60" s="26" t="s">
        <v>65</v>
      </c>
      <c r="C60" s="2">
        <v>14558068897</v>
      </c>
      <c r="D60" s="2">
        <v>82929684</v>
      </c>
      <c r="E60" s="2" t="s">
        <v>20</v>
      </c>
      <c r="F60" s="2" t="s">
        <v>21</v>
      </c>
      <c r="G60" s="2" t="s">
        <v>22</v>
      </c>
      <c r="H60" s="8" t="s">
        <v>33</v>
      </c>
      <c r="I60" s="42" t="s">
        <v>97</v>
      </c>
      <c r="J60" s="9">
        <v>0</v>
      </c>
      <c r="K60" s="4">
        <v>46198</v>
      </c>
      <c r="L60" s="11" t="b">
        <v>1</v>
      </c>
      <c r="M60" s="2" t="s">
        <v>1215</v>
      </c>
      <c r="N60" s="2">
        <v>2</v>
      </c>
      <c r="O60" s="64" t="s">
        <v>69</v>
      </c>
      <c r="P60" s="65">
        <v>46211</v>
      </c>
      <c r="Q60" s="65">
        <v>46218</v>
      </c>
      <c r="R60" s="65">
        <v>46232</v>
      </c>
      <c r="S60" s="65">
        <v>46238</v>
      </c>
      <c r="T60" s="136"/>
      <c r="U60" s="136"/>
    </row>
    <row r="61" spans="1:21" ht="18.75" x14ac:dyDescent="0.3">
      <c r="A61" s="12" t="s">
        <v>105</v>
      </c>
      <c r="B61" s="29" t="s">
        <v>27</v>
      </c>
      <c r="C61" s="2">
        <v>14558068053</v>
      </c>
      <c r="D61" s="2">
        <v>71205556</v>
      </c>
      <c r="E61" s="2" t="s">
        <v>20</v>
      </c>
      <c r="F61" s="2" t="s">
        <v>21</v>
      </c>
      <c r="G61" s="2" t="s">
        <v>22</v>
      </c>
      <c r="H61" s="8" t="s">
        <v>33</v>
      </c>
      <c r="I61" s="16" t="s">
        <v>106</v>
      </c>
      <c r="J61" s="9">
        <v>0</v>
      </c>
      <c r="K61" s="4">
        <v>46193</v>
      </c>
      <c r="L61" s="11" t="b">
        <v>0</v>
      </c>
      <c r="M61" s="2" t="s">
        <v>1216</v>
      </c>
      <c r="N61" s="7">
        <v>9</v>
      </c>
      <c r="O61" s="64" t="s">
        <v>107</v>
      </c>
      <c r="P61" s="65">
        <v>46213</v>
      </c>
      <c r="Q61" s="65">
        <v>46220</v>
      </c>
      <c r="R61" s="65">
        <v>46234</v>
      </c>
      <c r="S61" s="65">
        <v>46240</v>
      </c>
      <c r="T61" s="136"/>
      <c r="U61" s="136"/>
    </row>
    <row r="62" spans="1:21" ht="18.75" x14ac:dyDescent="0.3">
      <c r="A62" s="12" t="s">
        <v>108</v>
      </c>
      <c r="B62" s="29" t="s">
        <v>27</v>
      </c>
      <c r="C62" s="2">
        <v>14558068004</v>
      </c>
      <c r="D62" s="2">
        <v>71205556</v>
      </c>
      <c r="E62" s="2" t="s">
        <v>20</v>
      </c>
      <c r="F62" s="2" t="s">
        <v>21</v>
      </c>
      <c r="G62" s="2" t="s">
        <v>22</v>
      </c>
      <c r="H62" s="2" t="s">
        <v>30</v>
      </c>
      <c r="I62" s="16" t="s">
        <v>106</v>
      </c>
      <c r="J62" s="2">
        <v>0.16</v>
      </c>
      <c r="K62" s="4">
        <v>46193</v>
      </c>
      <c r="L62" s="11" t="b">
        <v>0</v>
      </c>
      <c r="M62" s="2" t="s">
        <v>1216</v>
      </c>
      <c r="N62" s="7">
        <v>8</v>
      </c>
      <c r="O62" s="64" t="s">
        <v>107</v>
      </c>
      <c r="P62" s="65">
        <v>46213</v>
      </c>
      <c r="Q62" s="65">
        <v>46220</v>
      </c>
      <c r="R62" s="65">
        <v>46234</v>
      </c>
      <c r="S62" s="65">
        <v>46240</v>
      </c>
      <c r="T62" s="136"/>
      <c r="U62" s="136"/>
    </row>
    <row r="63" spans="1:21" ht="18.75" x14ac:dyDescent="0.3">
      <c r="A63" s="12" t="s">
        <v>109</v>
      </c>
      <c r="B63" s="29" t="s">
        <v>27</v>
      </c>
      <c r="C63" s="2">
        <v>14558068079</v>
      </c>
      <c r="D63" s="2">
        <v>71205556</v>
      </c>
      <c r="E63" s="2" t="s">
        <v>20</v>
      </c>
      <c r="F63" s="2" t="s">
        <v>21</v>
      </c>
      <c r="G63" s="2" t="s">
        <v>22</v>
      </c>
      <c r="H63" s="7" t="s">
        <v>23</v>
      </c>
      <c r="I63" s="16" t="s">
        <v>106</v>
      </c>
      <c r="J63" s="9">
        <v>0</v>
      </c>
      <c r="K63" s="4">
        <v>46193</v>
      </c>
      <c r="L63" s="11" t="b">
        <v>1</v>
      </c>
      <c r="M63" s="2" t="s">
        <v>1216</v>
      </c>
      <c r="N63" s="2">
        <v>7</v>
      </c>
      <c r="O63" s="64" t="s">
        <v>107</v>
      </c>
      <c r="P63" s="65">
        <v>46213</v>
      </c>
      <c r="Q63" s="65">
        <v>46220</v>
      </c>
      <c r="R63" s="65">
        <v>46234</v>
      </c>
      <c r="S63" s="65">
        <v>46240</v>
      </c>
      <c r="T63" s="136"/>
      <c r="U63" s="136"/>
    </row>
    <row r="64" spans="1:21" ht="18.75" x14ac:dyDescent="0.3">
      <c r="A64" s="12" t="s">
        <v>110</v>
      </c>
      <c r="B64" s="24" t="s">
        <v>79</v>
      </c>
      <c r="C64" s="2">
        <v>14558069713</v>
      </c>
      <c r="D64" s="2">
        <v>71205556</v>
      </c>
      <c r="E64" s="2" t="s">
        <v>20</v>
      </c>
      <c r="F64" s="2" t="s">
        <v>21</v>
      </c>
      <c r="G64" s="2" t="s">
        <v>22</v>
      </c>
      <c r="H64" s="7" t="s">
        <v>23</v>
      </c>
      <c r="I64" s="16" t="s">
        <v>106</v>
      </c>
      <c r="J64" s="9">
        <v>0</v>
      </c>
      <c r="K64" s="4">
        <v>46193</v>
      </c>
      <c r="L64" s="11" t="b">
        <v>1</v>
      </c>
      <c r="M64" s="2" t="s">
        <v>1216</v>
      </c>
      <c r="N64" s="2">
        <v>4</v>
      </c>
      <c r="O64" s="64" t="s">
        <v>80</v>
      </c>
      <c r="P64" s="65">
        <v>46125</v>
      </c>
      <c r="Q64" s="65">
        <v>46132</v>
      </c>
      <c r="R64" s="65">
        <v>46148</v>
      </c>
      <c r="S64" s="65">
        <v>46154</v>
      </c>
      <c r="T64" s="137">
        <v>46204.425000000003</v>
      </c>
      <c r="U64" s="138">
        <v>19.7</v>
      </c>
    </row>
    <row r="65" spans="1:21" ht="18.75" x14ac:dyDescent="0.3">
      <c r="A65" s="12" t="s">
        <v>111</v>
      </c>
      <c r="B65" s="29" t="s">
        <v>27</v>
      </c>
      <c r="C65" s="2">
        <v>14558068095</v>
      </c>
      <c r="D65" s="2">
        <v>71205556</v>
      </c>
      <c r="E65" s="2" t="s">
        <v>20</v>
      </c>
      <c r="F65" s="2" t="s">
        <v>21</v>
      </c>
      <c r="G65" s="2" t="s">
        <v>22</v>
      </c>
      <c r="H65" s="8" t="s">
        <v>33</v>
      </c>
      <c r="I65" s="16" t="s">
        <v>106</v>
      </c>
      <c r="J65" s="9">
        <v>0</v>
      </c>
      <c r="K65" s="4">
        <v>46193</v>
      </c>
      <c r="L65" s="11" t="b">
        <v>0</v>
      </c>
      <c r="M65" s="2" t="s">
        <v>1216</v>
      </c>
      <c r="N65" s="7">
        <v>6</v>
      </c>
      <c r="O65" s="64" t="s">
        <v>107</v>
      </c>
      <c r="P65" s="65">
        <v>46213</v>
      </c>
      <c r="Q65" s="65">
        <v>46220</v>
      </c>
      <c r="R65" s="65">
        <v>46234</v>
      </c>
      <c r="S65" s="65">
        <v>46240</v>
      </c>
      <c r="T65" s="136"/>
      <c r="U65" s="136"/>
    </row>
    <row r="66" spans="1:21" ht="18.75" x14ac:dyDescent="0.3">
      <c r="A66" s="12" t="s">
        <v>112</v>
      </c>
      <c r="B66" s="24" t="s">
        <v>79</v>
      </c>
      <c r="C66" s="2">
        <v>14558069705</v>
      </c>
      <c r="D66" s="2">
        <v>71205556</v>
      </c>
      <c r="E66" s="2" t="s">
        <v>20</v>
      </c>
      <c r="F66" s="2" t="s">
        <v>21</v>
      </c>
      <c r="G66" s="2" t="s">
        <v>22</v>
      </c>
      <c r="H66" s="8" t="s">
        <v>33</v>
      </c>
      <c r="I66" s="16" t="s">
        <v>106</v>
      </c>
      <c r="J66" s="9">
        <v>0</v>
      </c>
      <c r="K66" s="4">
        <v>46193</v>
      </c>
      <c r="L66" s="11" t="b">
        <v>1</v>
      </c>
      <c r="M66" s="2" t="s">
        <v>1216</v>
      </c>
      <c r="N66" s="2">
        <v>3</v>
      </c>
      <c r="O66" s="64" t="s">
        <v>80</v>
      </c>
      <c r="P66" s="65">
        <v>46125</v>
      </c>
      <c r="Q66" s="65">
        <v>46132</v>
      </c>
      <c r="R66" s="65">
        <v>46148</v>
      </c>
      <c r="S66" s="65">
        <v>46154</v>
      </c>
      <c r="T66" s="137">
        <v>46204.704861111109</v>
      </c>
      <c r="U66" s="138">
        <v>39.33</v>
      </c>
    </row>
    <row r="67" spans="1:21" ht="18.75" x14ac:dyDescent="0.3">
      <c r="A67" s="12" t="s">
        <v>113</v>
      </c>
      <c r="B67" s="29" t="s">
        <v>27</v>
      </c>
      <c r="C67" s="2">
        <v>14558069663</v>
      </c>
      <c r="D67" s="2">
        <v>71205556</v>
      </c>
      <c r="E67" s="2" t="s">
        <v>20</v>
      </c>
      <c r="F67" s="2" t="s">
        <v>21</v>
      </c>
      <c r="G67" s="2" t="s">
        <v>22</v>
      </c>
      <c r="H67" s="2" t="s">
        <v>30</v>
      </c>
      <c r="I67" s="16" t="s">
        <v>106</v>
      </c>
      <c r="J67" s="9">
        <v>0</v>
      </c>
      <c r="K67" s="4">
        <v>46193</v>
      </c>
      <c r="L67" s="11" t="b">
        <v>0</v>
      </c>
      <c r="M67" s="2" t="s">
        <v>1216</v>
      </c>
      <c r="N67" s="7">
        <v>5</v>
      </c>
      <c r="O67" s="64" t="s">
        <v>76</v>
      </c>
      <c r="P67" s="65">
        <v>46227</v>
      </c>
      <c r="Q67" s="65">
        <v>46234</v>
      </c>
      <c r="R67" s="65">
        <v>46249</v>
      </c>
      <c r="S67" s="65">
        <v>46255</v>
      </c>
      <c r="T67" s="136"/>
      <c r="U67" s="136"/>
    </row>
    <row r="68" spans="1:21" ht="18.75" x14ac:dyDescent="0.3">
      <c r="A68" s="12" t="s">
        <v>114</v>
      </c>
      <c r="B68" s="24" t="s">
        <v>79</v>
      </c>
      <c r="C68" s="2">
        <v>14558069762</v>
      </c>
      <c r="D68" s="2">
        <v>71205556</v>
      </c>
      <c r="E68" s="2" t="s">
        <v>20</v>
      </c>
      <c r="F68" s="2" t="s">
        <v>21</v>
      </c>
      <c r="G68" s="2" t="s">
        <v>22</v>
      </c>
      <c r="H68" s="2" t="s">
        <v>30</v>
      </c>
      <c r="I68" s="16" t="s">
        <v>106</v>
      </c>
      <c r="J68" s="9">
        <v>0</v>
      </c>
      <c r="K68" s="4">
        <v>46193</v>
      </c>
      <c r="L68" s="11" t="b">
        <v>1</v>
      </c>
      <c r="M68" s="2" t="s">
        <v>1216</v>
      </c>
      <c r="N68" s="2">
        <v>2</v>
      </c>
      <c r="O68" s="64" t="s">
        <v>80</v>
      </c>
      <c r="P68" s="65">
        <v>46125</v>
      </c>
      <c r="Q68" s="65">
        <v>46132</v>
      </c>
      <c r="R68" s="65">
        <v>46148</v>
      </c>
      <c r="S68" s="65">
        <v>46154</v>
      </c>
      <c r="T68" s="137">
        <v>46204.424305555556</v>
      </c>
      <c r="U68" s="138">
        <v>35.67</v>
      </c>
    </row>
    <row r="69" spans="1:21" ht="18.75" x14ac:dyDescent="0.3">
      <c r="A69" s="12" t="s">
        <v>115</v>
      </c>
      <c r="B69" s="24" t="s">
        <v>79</v>
      </c>
      <c r="C69" s="2">
        <v>14558069887</v>
      </c>
      <c r="D69" s="2">
        <v>71205556</v>
      </c>
      <c r="E69" s="2" t="s">
        <v>20</v>
      </c>
      <c r="F69" s="2" t="s">
        <v>21</v>
      </c>
      <c r="G69" s="2" t="s">
        <v>22</v>
      </c>
      <c r="H69" s="7" t="s">
        <v>23</v>
      </c>
      <c r="I69" s="16" t="s">
        <v>106</v>
      </c>
      <c r="J69" s="9">
        <v>0</v>
      </c>
      <c r="K69" s="4">
        <v>46193</v>
      </c>
      <c r="L69" s="11" t="b">
        <v>1</v>
      </c>
      <c r="M69" s="2" t="s">
        <v>1216</v>
      </c>
      <c r="N69" s="2">
        <v>1</v>
      </c>
      <c r="O69" s="64" t="s">
        <v>80</v>
      </c>
      <c r="P69" s="65">
        <v>46125</v>
      </c>
      <c r="Q69" s="65">
        <v>46132</v>
      </c>
      <c r="R69" s="65">
        <v>46148</v>
      </c>
      <c r="S69" s="65">
        <v>46154</v>
      </c>
      <c r="T69" s="137">
        <v>46204.657638888886</v>
      </c>
      <c r="U69" s="138">
        <v>37.427999999999997</v>
      </c>
    </row>
    <row r="70" spans="1:21" ht="18.75" x14ac:dyDescent="0.3">
      <c r="A70" s="12" t="s">
        <v>116</v>
      </c>
      <c r="B70" s="27" t="s">
        <v>19</v>
      </c>
      <c r="C70" s="2">
        <v>14558066321</v>
      </c>
      <c r="D70" s="2">
        <v>82929702</v>
      </c>
      <c r="E70" s="2" t="s">
        <v>20</v>
      </c>
      <c r="F70" s="2" t="s">
        <v>21</v>
      </c>
      <c r="G70" s="2" t="s">
        <v>22</v>
      </c>
      <c r="H70" s="7" t="s">
        <v>23</v>
      </c>
      <c r="I70" s="39" t="s">
        <v>117</v>
      </c>
      <c r="J70" s="9">
        <v>0</v>
      </c>
      <c r="K70" s="4">
        <v>46219</v>
      </c>
      <c r="L70" s="11" t="b">
        <v>0</v>
      </c>
      <c r="M70" s="2" t="s">
        <v>1217</v>
      </c>
      <c r="N70" s="7">
        <v>1</v>
      </c>
      <c r="O70" s="64" t="s">
        <v>118</v>
      </c>
      <c r="P70" s="65">
        <v>46273</v>
      </c>
      <c r="Q70" s="65">
        <v>46280</v>
      </c>
      <c r="R70" s="65">
        <v>46295</v>
      </c>
      <c r="S70" s="65">
        <v>46301</v>
      </c>
      <c r="T70" s="136"/>
      <c r="U70" s="136"/>
    </row>
    <row r="71" spans="1:21" ht="18.75" x14ac:dyDescent="0.3">
      <c r="A71" s="12" t="s">
        <v>119</v>
      </c>
      <c r="B71" s="27" t="s">
        <v>19</v>
      </c>
      <c r="C71" s="2">
        <v>14558069515</v>
      </c>
      <c r="D71" s="2">
        <v>82929702</v>
      </c>
      <c r="E71" s="2" t="s">
        <v>20</v>
      </c>
      <c r="F71" s="2" t="s">
        <v>21</v>
      </c>
      <c r="G71" s="2" t="s">
        <v>22</v>
      </c>
      <c r="H71" s="7" t="s">
        <v>23</v>
      </c>
      <c r="I71" s="39" t="s">
        <v>117</v>
      </c>
      <c r="J71" s="9">
        <v>0</v>
      </c>
      <c r="K71" s="4">
        <v>46219</v>
      </c>
      <c r="L71" s="11" t="b">
        <v>1</v>
      </c>
      <c r="M71" s="2" t="s">
        <v>1217</v>
      </c>
      <c r="N71" s="2">
        <v>2</v>
      </c>
      <c r="O71" s="64" t="s">
        <v>118</v>
      </c>
      <c r="P71" s="65">
        <v>46273</v>
      </c>
      <c r="Q71" s="65">
        <v>46280</v>
      </c>
      <c r="R71" s="65">
        <v>46295</v>
      </c>
      <c r="S71" s="65">
        <v>46301</v>
      </c>
      <c r="T71" s="136"/>
      <c r="U71" s="136"/>
    </row>
    <row r="72" spans="1:21" ht="18.75" x14ac:dyDescent="0.3">
      <c r="A72" s="12" t="s">
        <v>120</v>
      </c>
      <c r="B72" s="29" t="s">
        <v>27</v>
      </c>
      <c r="C72" s="2">
        <v>14558069051</v>
      </c>
      <c r="D72" s="2">
        <v>82929702</v>
      </c>
      <c r="E72" s="2" t="s">
        <v>20</v>
      </c>
      <c r="F72" s="2" t="s">
        <v>21</v>
      </c>
      <c r="G72" s="2" t="s">
        <v>22</v>
      </c>
      <c r="H72" s="2" t="s">
        <v>30</v>
      </c>
      <c r="I72" s="39" t="s">
        <v>117</v>
      </c>
      <c r="J72" s="9">
        <v>0</v>
      </c>
      <c r="K72" s="4">
        <v>46219</v>
      </c>
      <c r="L72" s="11" t="b">
        <v>0</v>
      </c>
      <c r="M72" s="2" t="s">
        <v>1217</v>
      </c>
      <c r="N72" s="7">
        <v>6</v>
      </c>
      <c r="O72" s="64" t="s">
        <v>121</v>
      </c>
      <c r="P72" s="65">
        <v>46213</v>
      </c>
      <c r="Q72" s="65">
        <v>46220</v>
      </c>
      <c r="R72" s="65">
        <v>46234</v>
      </c>
      <c r="S72" s="65">
        <v>46240</v>
      </c>
      <c r="T72" s="136"/>
      <c r="U72" s="136"/>
    </row>
    <row r="73" spans="1:21" ht="18.75" x14ac:dyDescent="0.3">
      <c r="A73" s="12" t="s">
        <v>122</v>
      </c>
      <c r="B73" s="27" t="s">
        <v>19</v>
      </c>
      <c r="C73" s="2">
        <v>14558069440</v>
      </c>
      <c r="D73" s="2">
        <v>82929702</v>
      </c>
      <c r="E73" s="2" t="s">
        <v>20</v>
      </c>
      <c r="F73" s="2" t="s">
        <v>21</v>
      </c>
      <c r="G73" s="2" t="s">
        <v>22</v>
      </c>
      <c r="H73" s="7" t="s">
        <v>23</v>
      </c>
      <c r="I73" s="39" t="s">
        <v>117</v>
      </c>
      <c r="J73" s="9">
        <v>0</v>
      </c>
      <c r="K73" s="4">
        <v>46219</v>
      </c>
      <c r="L73" s="11" t="b">
        <v>0</v>
      </c>
      <c r="M73" s="2" t="s">
        <v>1217</v>
      </c>
      <c r="N73" s="7">
        <v>3</v>
      </c>
      <c r="O73" s="64" t="s">
        <v>118</v>
      </c>
      <c r="P73" s="65">
        <v>46273</v>
      </c>
      <c r="Q73" s="65">
        <v>46280</v>
      </c>
      <c r="R73" s="65">
        <v>46295</v>
      </c>
      <c r="S73" s="65">
        <v>46301</v>
      </c>
      <c r="T73" s="136"/>
      <c r="U73" s="136"/>
    </row>
    <row r="74" spans="1:21" ht="18.75" x14ac:dyDescent="0.3">
      <c r="A74" s="12" t="s">
        <v>123</v>
      </c>
      <c r="B74" s="29" t="s">
        <v>27</v>
      </c>
      <c r="C74" s="2">
        <v>14558068418</v>
      </c>
      <c r="D74" s="2">
        <v>82929702</v>
      </c>
      <c r="E74" s="2" t="s">
        <v>20</v>
      </c>
      <c r="F74" s="2" t="s">
        <v>21</v>
      </c>
      <c r="G74" s="2" t="s">
        <v>22</v>
      </c>
      <c r="H74" s="8" t="s">
        <v>33</v>
      </c>
      <c r="I74" s="39" t="s">
        <v>117</v>
      </c>
      <c r="J74" s="9">
        <v>0</v>
      </c>
      <c r="K74" s="4">
        <v>46219</v>
      </c>
      <c r="L74" s="11" t="b">
        <v>0</v>
      </c>
      <c r="M74" s="2" t="s">
        <v>1217</v>
      </c>
      <c r="N74" s="7">
        <v>7</v>
      </c>
      <c r="O74" s="64" t="s">
        <v>121</v>
      </c>
      <c r="P74" s="65">
        <v>46213</v>
      </c>
      <c r="Q74" s="65">
        <v>46220</v>
      </c>
      <c r="R74" s="65">
        <v>46234</v>
      </c>
      <c r="S74" s="65">
        <v>46240</v>
      </c>
      <c r="T74" s="136"/>
      <c r="U74" s="136"/>
    </row>
    <row r="75" spans="1:21" ht="18.75" x14ac:dyDescent="0.3">
      <c r="A75" s="12" t="s">
        <v>124</v>
      </c>
      <c r="B75" s="27" t="s">
        <v>19</v>
      </c>
      <c r="C75" s="2">
        <v>14558068459</v>
      </c>
      <c r="D75" s="2">
        <v>82929702</v>
      </c>
      <c r="E75" s="2" t="s">
        <v>20</v>
      </c>
      <c r="F75" s="2" t="s">
        <v>21</v>
      </c>
      <c r="G75" s="2" t="s">
        <v>22</v>
      </c>
      <c r="H75" s="2" t="s">
        <v>30</v>
      </c>
      <c r="I75" s="39" t="s">
        <v>117</v>
      </c>
      <c r="J75" s="9">
        <v>0</v>
      </c>
      <c r="K75" s="4">
        <v>46219</v>
      </c>
      <c r="L75" s="11" t="b">
        <v>0</v>
      </c>
      <c r="M75" s="2" t="s">
        <v>1217</v>
      </c>
      <c r="N75" s="7">
        <v>4</v>
      </c>
      <c r="O75" s="64" t="s">
        <v>118</v>
      </c>
      <c r="P75" s="65">
        <v>46273</v>
      </c>
      <c r="Q75" s="65">
        <v>46280</v>
      </c>
      <c r="R75" s="65">
        <v>46295</v>
      </c>
      <c r="S75" s="65">
        <v>46301</v>
      </c>
      <c r="T75" s="136"/>
      <c r="U75" s="136"/>
    </row>
    <row r="76" spans="1:21" ht="18.75" x14ac:dyDescent="0.3">
      <c r="A76" s="12" t="s">
        <v>125</v>
      </c>
      <c r="B76" s="29" t="s">
        <v>27</v>
      </c>
      <c r="C76" s="2">
        <v>14558069572</v>
      </c>
      <c r="D76" s="2">
        <v>82929702</v>
      </c>
      <c r="E76" s="2" t="s">
        <v>20</v>
      </c>
      <c r="F76" s="2" t="s">
        <v>21</v>
      </c>
      <c r="G76" s="2" t="s">
        <v>22</v>
      </c>
      <c r="H76" s="2" t="s">
        <v>30</v>
      </c>
      <c r="I76" s="39" t="s">
        <v>117</v>
      </c>
      <c r="J76" s="9">
        <v>0</v>
      </c>
      <c r="K76" s="4">
        <v>46219</v>
      </c>
      <c r="L76" s="11" t="b">
        <v>0</v>
      </c>
      <c r="M76" s="2" t="s">
        <v>1217</v>
      </c>
      <c r="N76" s="7">
        <v>5</v>
      </c>
      <c r="O76" s="64" t="s">
        <v>121</v>
      </c>
      <c r="P76" s="65">
        <v>46213</v>
      </c>
      <c r="Q76" s="65">
        <v>46220</v>
      </c>
      <c r="R76" s="65">
        <v>46234</v>
      </c>
      <c r="S76" s="65">
        <v>46240</v>
      </c>
      <c r="T76" s="136"/>
      <c r="U76" s="136"/>
    </row>
    <row r="77" spans="1:21" ht="18.75" x14ac:dyDescent="0.3">
      <c r="A77" s="12" t="s">
        <v>126</v>
      </c>
      <c r="B77" s="27" t="s">
        <v>19</v>
      </c>
      <c r="C77" s="2">
        <v>14558069408</v>
      </c>
      <c r="D77" s="2">
        <v>82929702</v>
      </c>
      <c r="E77" s="2" t="s">
        <v>20</v>
      </c>
      <c r="F77" s="2" t="s">
        <v>21</v>
      </c>
      <c r="G77" s="2" t="s">
        <v>22</v>
      </c>
      <c r="H77" s="8" t="s">
        <v>33</v>
      </c>
      <c r="I77" s="39" t="s">
        <v>117</v>
      </c>
      <c r="J77" s="9">
        <v>0</v>
      </c>
      <c r="K77" s="4">
        <v>46219</v>
      </c>
      <c r="L77" s="11" t="b">
        <v>0</v>
      </c>
      <c r="M77" s="2" t="s">
        <v>1217</v>
      </c>
      <c r="N77" s="7">
        <v>9</v>
      </c>
      <c r="O77" s="64" t="s">
        <v>118</v>
      </c>
      <c r="P77" s="65">
        <v>46273</v>
      </c>
      <c r="Q77" s="65">
        <v>46280</v>
      </c>
      <c r="R77" s="65">
        <v>46295</v>
      </c>
      <c r="S77" s="65">
        <v>46301</v>
      </c>
      <c r="T77" s="136"/>
      <c r="U77" s="136"/>
    </row>
    <row r="78" spans="1:21" ht="18.75" x14ac:dyDescent="0.3">
      <c r="A78" s="12" t="s">
        <v>127</v>
      </c>
      <c r="B78" s="29" t="s">
        <v>27</v>
      </c>
      <c r="C78" s="2">
        <v>14558069523</v>
      </c>
      <c r="D78" s="2">
        <v>82929702</v>
      </c>
      <c r="E78" s="2" t="s">
        <v>20</v>
      </c>
      <c r="F78" s="2" t="s">
        <v>21</v>
      </c>
      <c r="G78" s="2" t="s">
        <v>22</v>
      </c>
      <c r="H78" s="8" t="s">
        <v>33</v>
      </c>
      <c r="I78" s="39" t="s">
        <v>117</v>
      </c>
      <c r="J78" s="9">
        <v>0</v>
      </c>
      <c r="K78" s="4">
        <v>46219</v>
      </c>
      <c r="L78" s="11" t="b">
        <v>0</v>
      </c>
      <c r="M78" s="2" t="s">
        <v>1217</v>
      </c>
      <c r="N78" s="7">
        <v>8</v>
      </c>
      <c r="O78" s="64" t="s">
        <v>121</v>
      </c>
      <c r="P78" s="65">
        <v>46213</v>
      </c>
      <c r="Q78" s="65">
        <v>46220</v>
      </c>
      <c r="R78" s="65">
        <v>46234</v>
      </c>
      <c r="S78" s="65">
        <v>46240</v>
      </c>
      <c r="T78" s="136"/>
      <c r="U78" s="136"/>
    </row>
    <row r="79" spans="1:21" ht="18.75" x14ac:dyDescent="0.3">
      <c r="A79" s="12" t="s">
        <v>128</v>
      </c>
      <c r="B79" s="27" t="s">
        <v>19</v>
      </c>
      <c r="C79" s="2">
        <v>14558068244</v>
      </c>
      <c r="D79" s="2">
        <v>82929684</v>
      </c>
      <c r="E79" s="2" t="s">
        <v>20</v>
      </c>
      <c r="F79" s="2" t="s">
        <v>21</v>
      </c>
      <c r="G79" s="2" t="s">
        <v>22</v>
      </c>
      <c r="H79" s="7" t="s">
        <v>23</v>
      </c>
      <c r="I79" s="45" t="s">
        <v>129</v>
      </c>
      <c r="J79" s="9">
        <v>0</v>
      </c>
      <c r="K79" s="4">
        <v>46197</v>
      </c>
      <c r="L79" s="11" t="b">
        <v>1</v>
      </c>
      <c r="M79" s="2" t="s">
        <v>1218</v>
      </c>
      <c r="N79" s="2">
        <v>6</v>
      </c>
      <c r="O79" s="64" t="s">
        <v>130</v>
      </c>
      <c r="P79" s="65">
        <v>46167</v>
      </c>
      <c r="Q79" s="65">
        <v>46174</v>
      </c>
      <c r="R79" s="65">
        <v>46188</v>
      </c>
      <c r="S79" s="65">
        <v>46195</v>
      </c>
      <c r="T79" s="136"/>
      <c r="U79" s="136"/>
    </row>
    <row r="80" spans="1:21" ht="18.75" x14ac:dyDescent="0.3">
      <c r="A80" s="12" t="s">
        <v>131</v>
      </c>
      <c r="B80" s="29" t="s">
        <v>27</v>
      </c>
      <c r="C80" s="2">
        <v>14558070026</v>
      </c>
      <c r="D80" s="2">
        <v>82929684</v>
      </c>
      <c r="E80" s="2" t="s">
        <v>20</v>
      </c>
      <c r="F80" s="2" t="s">
        <v>21</v>
      </c>
      <c r="G80" s="2" t="s">
        <v>22</v>
      </c>
      <c r="H80" s="2" t="s">
        <v>30</v>
      </c>
      <c r="I80" s="45" t="s">
        <v>129</v>
      </c>
      <c r="J80" s="9">
        <v>0</v>
      </c>
      <c r="K80" s="4">
        <v>46197</v>
      </c>
      <c r="L80" s="11" t="b">
        <v>1</v>
      </c>
      <c r="M80" s="2" t="s">
        <v>1218</v>
      </c>
      <c r="N80" s="2">
        <v>5</v>
      </c>
      <c r="O80" s="64" t="s">
        <v>132</v>
      </c>
      <c r="P80" s="65">
        <v>46153</v>
      </c>
      <c r="Q80" s="65">
        <v>46160</v>
      </c>
      <c r="R80" s="65">
        <v>46174</v>
      </c>
      <c r="S80" s="65">
        <v>46179</v>
      </c>
      <c r="T80" s="136"/>
      <c r="U80" s="136"/>
    </row>
    <row r="81" spans="1:21" ht="18.75" x14ac:dyDescent="0.3">
      <c r="A81" s="12" t="s">
        <v>133</v>
      </c>
      <c r="B81" s="27" t="s">
        <v>19</v>
      </c>
      <c r="C81" s="2">
        <v>14558068228</v>
      </c>
      <c r="D81" s="2">
        <v>82929684</v>
      </c>
      <c r="E81" s="2" t="s">
        <v>20</v>
      </c>
      <c r="F81" s="2" t="s">
        <v>21</v>
      </c>
      <c r="G81" s="2" t="s">
        <v>22</v>
      </c>
      <c r="H81" s="7" t="s">
        <v>23</v>
      </c>
      <c r="I81" s="45" t="s">
        <v>129</v>
      </c>
      <c r="J81" s="9">
        <v>0</v>
      </c>
      <c r="K81" s="4">
        <v>46197</v>
      </c>
      <c r="L81" s="11" t="b">
        <v>1</v>
      </c>
      <c r="M81" s="2" t="s">
        <v>1218</v>
      </c>
      <c r="N81" s="2">
        <v>7</v>
      </c>
      <c r="O81" s="64" t="s">
        <v>130</v>
      </c>
      <c r="P81" s="65">
        <v>46167</v>
      </c>
      <c r="Q81" s="65">
        <v>46174</v>
      </c>
      <c r="R81" s="65">
        <v>46188</v>
      </c>
      <c r="S81" s="65">
        <v>46195</v>
      </c>
      <c r="T81" s="136"/>
      <c r="U81" s="136"/>
    </row>
    <row r="82" spans="1:21" ht="18.75" x14ac:dyDescent="0.3">
      <c r="A82" s="12" t="s">
        <v>134</v>
      </c>
      <c r="B82" s="29" t="s">
        <v>27</v>
      </c>
      <c r="C82" s="2">
        <v>14558069176</v>
      </c>
      <c r="D82" s="2">
        <v>82929684</v>
      </c>
      <c r="E82" s="2" t="s">
        <v>20</v>
      </c>
      <c r="F82" s="2" t="s">
        <v>21</v>
      </c>
      <c r="G82" s="2" t="s">
        <v>22</v>
      </c>
      <c r="H82" s="2" t="s">
        <v>33</v>
      </c>
      <c r="I82" s="45" t="s">
        <v>129</v>
      </c>
      <c r="J82" s="9">
        <v>0</v>
      </c>
      <c r="K82" s="4">
        <v>46197</v>
      </c>
      <c r="L82" s="11" t="b">
        <v>1</v>
      </c>
      <c r="M82" s="2" t="s">
        <v>1218</v>
      </c>
      <c r="N82" s="2">
        <v>1</v>
      </c>
      <c r="O82" s="64" t="s">
        <v>132</v>
      </c>
      <c r="P82" s="65">
        <v>46153</v>
      </c>
      <c r="Q82" s="65">
        <v>46160</v>
      </c>
      <c r="R82" s="65">
        <v>46174</v>
      </c>
      <c r="S82" s="65">
        <v>46179</v>
      </c>
      <c r="T82" s="136"/>
      <c r="U82" s="136"/>
    </row>
    <row r="83" spans="1:21" ht="18.75" x14ac:dyDescent="0.3">
      <c r="A83" s="12" t="s">
        <v>135</v>
      </c>
      <c r="B83" s="27" t="s">
        <v>19</v>
      </c>
      <c r="C83" s="148">
        <v>14558068442</v>
      </c>
      <c r="D83" s="2">
        <v>82929684</v>
      </c>
      <c r="E83" s="2" t="s">
        <v>20</v>
      </c>
      <c r="F83" s="2" t="s">
        <v>21</v>
      </c>
      <c r="G83" s="2" t="s">
        <v>22</v>
      </c>
      <c r="H83" s="7" t="s">
        <v>23</v>
      </c>
      <c r="I83" s="45" t="s">
        <v>129</v>
      </c>
      <c r="J83" s="9">
        <v>0</v>
      </c>
      <c r="K83" s="4">
        <v>46197</v>
      </c>
      <c r="L83" s="11" t="b">
        <v>1</v>
      </c>
      <c r="M83" s="2" t="s">
        <v>1218</v>
      </c>
      <c r="N83" s="2">
        <v>8</v>
      </c>
      <c r="O83" s="64" t="s">
        <v>130</v>
      </c>
      <c r="P83" s="65">
        <v>46167</v>
      </c>
      <c r="Q83" s="65">
        <v>46174</v>
      </c>
      <c r="R83" s="65">
        <v>46188</v>
      </c>
      <c r="S83" s="65">
        <v>46195</v>
      </c>
      <c r="T83" s="136"/>
      <c r="U83" s="136"/>
    </row>
    <row r="84" spans="1:21" ht="18.75" x14ac:dyDescent="0.3">
      <c r="A84" s="12" t="s">
        <v>136</v>
      </c>
      <c r="B84" s="29" t="s">
        <v>27</v>
      </c>
      <c r="C84" s="2">
        <v>14558070000</v>
      </c>
      <c r="D84" s="2">
        <v>82929684</v>
      </c>
      <c r="E84" s="2" t="s">
        <v>20</v>
      </c>
      <c r="F84" s="2" t="s">
        <v>21</v>
      </c>
      <c r="G84" s="2" t="s">
        <v>22</v>
      </c>
      <c r="H84" s="2" t="s">
        <v>33</v>
      </c>
      <c r="I84" s="45" t="s">
        <v>129</v>
      </c>
      <c r="J84" s="9">
        <v>0</v>
      </c>
      <c r="K84" s="4">
        <v>46197</v>
      </c>
      <c r="L84" s="11" t="b">
        <v>1</v>
      </c>
      <c r="M84" s="2" t="s">
        <v>1218</v>
      </c>
      <c r="N84" s="2">
        <v>2</v>
      </c>
      <c r="O84" s="64" t="s">
        <v>132</v>
      </c>
      <c r="P84" s="65">
        <v>46153</v>
      </c>
      <c r="Q84" s="65">
        <v>46160</v>
      </c>
      <c r="R84" s="65">
        <v>46174</v>
      </c>
      <c r="S84" s="65">
        <v>46179</v>
      </c>
      <c r="T84" s="136"/>
      <c r="U84" s="136"/>
    </row>
    <row r="85" spans="1:21" ht="18.75" x14ac:dyDescent="0.3">
      <c r="A85" s="12" t="s">
        <v>137</v>
      </c>
      <c r="B85" s="27" t="s">
        <v>19</v>
      </c>
      <c r="C85" s="2">
        <v>14558069317</v>
      </c>
      <c r="D85" s="2">
        <v>82929684</v>
      </c>
      <c r="E85" s="2" t="s">
        <v>20</v>
      </c>
      <c r="F85" s="2" t="s">
        <v>21</v>
      </c>
      <c r="G85" s="2" t="s">
        <v>22</v>
      </c>
      <c r="H85" s="2" t="s">
        <v>30</v>
      </c>
      <c r="I85" s="45" t="s">
        <v>129</v>
      </c>
      <c r="J85" s="9">
        <v>0</v>
      </c>
      <c r="K85" s="4">
        <v>46197</v>
      </c>
      <c r="L85" s="11" t="b">
        <v>1</v>
      </c>
      <c r="M85" s="2" t="s">
        <v>1218</v>
      </c>
      <c r="N85" s="2">
        <v>4</v>
      </c>
      <c r="O85" s="64" t="s">
        <v>130</v>
      </c>
      <c r="P85" s="65">
        <v>46167</v>
      </c>
      <c r="Q85" s="65">
        <v>46174</v>
      </c>
      <c r="R85" s="65">
        <v>46188</v>
      </c>
      <c r="S85" s="65">
        <v>46195</v>
      </c>
      <c r="T85" s="136"/>
      <c r="U85" s="136"/>
    </row>
    <row r="86" spans="1:21" ht="18.75" x14ac:dyDescent="0.3">
      <c r="A86" s="12" t="s">
        <v>138</v>
      </c>
      <c r="B86" s="29" t="s">
        <v>27</v>
      </c>
      <c r="C86" s="2">
        <v>14558070109</v>
      </c>
      <c r="D86" s="2">
        <v>82929684</v>
      </c>
      <c r="E86" s="2" t="s">
        <v>20</v>
      </c>
      <c r="F86" s="2" t="s">
        <v>21</v>
      </c>
      <c r="G86" s="2" t="s">
        <v>22</v>
      </c>
      <c r="H86" s="2" t="s">
        <v>33</v>
      </c>
      <c r="I86" s="45" t="s">
        <v>129</v>
      </c>
      <c r="J86" s="9">
        <v>0</v>
      </c>
      <c r="K86" s="4">
        <v>46197</v>
      </c>
      <c r="L86" s="11" t="b">
        <v>1</v>
      </c>
      <c r="M86" s="2" t="s">
        <v>1218</v>
      </c>
      <c r="N86" s="2">
        <v>3</v>
      </c>
      <c r="O86" s="64" t="s">
        <v>132</v>
      </c>
      <c r="P86" s="65">
        <v>46153</v>
      </c>
      <c r="Q86" s="65">
        <v>46160</v>
      </c>
      <c r="R86" s="65">
        <v>46174</v>
      </c>
      <c r="S86" s="65">
        <v>46179</v>
      </c>
      <c r="T86" s="136"/>
      <c r="U86" s="136"/>
    </row>
    <row r="87" spans="1:21" ht="18.75" x14ac:dyDescent="0.3">
      <c r="A87" s="12" t="s">
        <v>139</v>
      </c>
      <c r="B87" s="29" t="s">
        <v>27</v>
      </c>
      <c r="C87" s="2">
        <v>14558068376</v>
      </c>
      <c r="D87" s="2">
        <v>71205556</v>
      </c>
      <c r="E87" s="2" t="s">
        <v>20</v>
      </c>
      <c r="F87" s="2" t="s">
        <v>21</v>
      </c>
      <c r="G87" s="2" t="s">
        <v>22</v>
      </c>
      <c r="H87" s="8" t="s">
        <v>33</v>
      </c>
      <c r="I87" s="20" t="s">
        <v>140</v>
      </c>
      <c r="J87" s="2">
        <v>0</v>
      </c>
      <c r="K87" s="4">
        <v>46193</v>
      </c>
      <c r="L87" s="11" t="b">
        <v>0</v>
      </c>
      <c r="M87" s="2" t="s">
        <v>1219</v>
      </c>
      <c r="N87" s="7">
        <v>9</v>
      </c>
      <c r="O87" s="64" t="s">
        <v>107</v>
      </c>
      <c r="P87" s="65">
        <v>46213</v>
      </c>
      <c r="Q87" s="65">
        <v>46220</v>
      </c>
      <c r="R87" s="65">
        <v>46234</v>
      </c>
      <c r="S87" s="65">
        <v>46240</v>
      </c>
      <c r="T87" s="136"/>
      <c r="U87" s="136"/>
    </row>
    <row r="88" spans="1:21" ht="18.75" x14ac:dyDescent="0.3">
      <c r="A88" s="12" t="s">
        <v>141</v>
      </c>
      <c r="B88" s="29" t="s">
        <v>27</v>
      </c>
      <c r="C88" s="2">
        <v>14558068293</v>
      </c>
      <c r="D88" s="2">
        <v>71205556</v>
      </c>
      <c r="E88" s="2" t="s">
        <v>20</v>
      </c>
      <c r="F88" s="2" t="s">
        <v>21</v>
      </c>
      <c r="G88" s="2" t="s">
        <v>22</v>
      </c>
      <c r="H88" s="2" t="s">
        <v>30</v>
      </c>
      <c r="I88" s="20" t="s">
        <v>140</v>
      </c>
      <c r="J88" s="2">
        <v>0</v>
      </c>
      <c r="K88" s="4">
        <v>46193</v>
      </c>
      <c r="L88" s="11" t="b">
        <v>0</v>
      </c>
      <c r="M88" s="2" t="s">
        <v>1219</v>
      </c>
      <c r="N88" s="7">
        <v>8</v>
      </c>
      <c r="O88" s="64" t="s">
        <v>107</v>
      </c>
      <c r="P88" s="65">
        <v>46213</v>
      </c>
      <c r="Q88" s="65">
        <v>46220</v>
      </c>
      <c r="R88" s="65">
        <v>46234</v>
      </c>
      <c r="S88" s="65">
        <v>46240</v>
      </c>
      <c r="T88" s="136"/>
      <c r="U88" s="136"/>
    </row>
    <row r="89" spans="1:21" ht="18.75" x14ac:dyDescent="0.3">
      <c r="A89" s="12" t="s">
        <v>142</v>
      </c>
      <c r="B89" s="24" t="s">
        <v>79</v>
      </c>
      <c r="C89" s="2">
        <v>14558067899</v>
      </c>
      <c r="D89" s="2">
        <v>71205556</v>
      </c>
      <c r="E89" s="2" t="s">
        <v>20</v>
      </c>
      <c r="F89" s="2" t="s">
        <v>21</v>
      </c>
      <c r="G89" s="2" t="s">
        <v>22</v>
      </c>
      <c r="H89" s="2" t="s">
        <v>30</v>
      </c>
      <c r="I89" s="20" t="s">
        <v>140</v>
      </c>
      <c r="J89" s="2">
        <v>0.02</v>
      </c>
      <c r="K89" s="4">
        <v>46193</v>
      </c>
      <c r="L89" s="11" t="b">
        <v>1</v>
      </c>
      <c r="M89" s="2" t="s">
        <v>1219</v>
      </c>
      <c r="N89" s="2">
        <v>5</v>
      </c>
      <c r="O89" s="64" t="s">
        <v>143</v>
      </c>
      <c r="P89" s="65">
        <v>46134</v>
      </c>
      <c r="Q89" s="65">
        <v>46142</v>
      </c>
      <c r="R89" s="65">
        <v>46157</v>
      </c>
      <c r="S89" s="65">
        <v>46163</v>
      </c>
      <c r="T89" s="137">
        <v>46204.70416666667</v>
      </c>
      <c r="U89" s="138">
        <v>102.95</v>
      </c>
    </row>
    <row r="90" spans="1:21" ht="18.75" x14ac:dyDescent="0.3">
      <c r="A90" s="12" t="s">
        <v>144</v>
      </c>
      <c r="B90" s="29" t="s">
        <v>27</v>
      </c>
      <c r="C90" s="2">
        <v>14558068277</v>
      </c>
      <c r="D90" s="2">
        <v>71205556</v>
      </c>
      <c r="E90" s="2" t="s">
        <v>20</v>
      </c>
      <c r="F90" s="2" t="s">
        <v>21</v>
      </c>
      <c r="G90" s="2" t="s">
        <v>22</v>
      </c>
      <c r="H90" s="7" t="s">
        <v>23</v>
      </c>
      <c r="I90" s="20" t="s">
        <v>140</v>
      </c>
      <c r="J90" s="2">
        <v>0</v>
      </c>
      <c r="K90" s="4">
        <v>46193</v>
      </c>
      <c r="L90" s="11" t="b">
        <v>0</v>
      </c>
      <c r="M90" s="2" t="s">
        <v>1219</v>
      </c>
      <c r="N90" s="7">
        <v>7</v>
      </c>
      <c r="O90" s="64" t="s">
        <v>107</v>
      </c>
      <c r="P90" s="65">
        <v>46213</v>
      </c>
      <c r="Q90" s="65">
        <v>46220</v>
      </c>
      <c r="R90" s="65">
        <v>46234</v>
      </c>
      <c r="S90" s="65">
        <v>46240</v>
      </c>
      <c r="T90" s="136"/>
      <c r="U90" s="136"/>
    </row>
    <row r="91" spans="1:21" ht="18.75" x14ac:dyDescent="0.3">
      <c r="A91" s="12" t="s">
        <v>145</v>
      </c>
      <c r="B91" s="24" t="s">
        <v>79</v>
      </c>
      <c r="C91" s="2">
        <v>14558067873</v>
      </c>
      <c r="D91" s="2">
        <v>71205556</v>
      </c>
      <c r="E91" s="2" t="s">
        <v>20</v>
      </c>
      <c r="F91" s="2" t="s">
        <v>21</v>
      </c>
      <c r="G91" s="2" t="s">
        <v>22</v>
      </c>
      <c r="H91" s="7" t="s">
        <v>23</v>
      </c>
      <c r="I91" s="20" t="s">
        <v>140</v>
      </c>
      <c r="J91" s="2">
        <v>0.04</v>
      </c>
      <c r="K91" s="4">
        <v>46193</v>
      </c>
      <c r="L91" s="11" t="b">
        <v>1</v>
      </c>
      <c r="M91" s="2" t="s">
        <v>1219</v>
      </c>
      <c r="N91" s="2">
        <v>4</v>
      </c>
      <c r="O91" s="64" t="s">
        <v>143</v>
      </c>
      <c r="P91" s="65">
        <v>46134</v>
      </c>
      <c r="Q91" s="65">
        <v>46142</v>
      </c>
      <c r="R91" s="65">
        <v>46157</v>
      </c>
      <c r="S91" s="65">
        <v>46163</v>
      </c>
      <c r="T91" s="137">
        <v>46204.657638888886</v>
      </c>
      <c r="U91" s="138">
        <v>70.277000000000001</v>
      </c>
    </row>
    <row r="92" spans="1:21" ht="18.75" x14ac:dyDescent="0.3">
      <c r="A92" s="12" t="s">
        <v>146</v>
      </c>
      <c r="B92" s="29" t="s">
        <v>27</v>
      </c>
      <c r="C92" s="2">
        <v>14558068202</v>
      </c>
      <c r="D92" s="2">
        <v>71205556</v>
      </c>
      <c r="E92" s="2" t="s">
        <v>20</v>
      </c>
      <c r="F92" s="2" t="s">
        <v>21</v>
      </c>
      <c r="G92" s="2" t="s">
        <v>22</v>
      </c>
      <c r="H92" s="8" t="s">
        <v>33</v>
      </c>
      <c r="I92" s="20" t="s">
        <v>140</v>
      </c>
      <c r="J92" s="2">
        <v>0</v>
      </c>
      <c r="K92" s="4">
        <v>46193</v>
      </c>
      <c r="L92" s="11" t="b">
        <v>1</v>
      </c>
      <c r="M92" s="2" t="s">
        <v>1219</v>
      </c>
      <c r="N92" s="2">
        <v>6</v>
      </c>
      <c r="O92" s="64" t="s">
        <v>107</v>
      </c>
      <c r="P92" s="65">
        <v>46213</v>
      </c>
      <c r="Q92" s="65">
        <v>46220</v>
      </c>
      <c r="R92" s="65">
        <v>46234</v>
      </c>
      <c r="S92" s="65">
        <v>46240</v>
      </c>
      <c r="T92" s="136"/>
      <c r="U92" s="136"/>
    </row>
    <row r="93" spans="1:21" ht="18.75" x14ac:dyDescent="0.3">
      <c r="A93" s="12" t="s">
        <v>147</v>
      </c>
      <c r="B93" s="24" t="s">
        <v>79</v>
      </c>
      <c r="C93" s="2">
        <v>14558067881</v>
      </c>
      <c r="D93" s="2">
        <v>71205556</v>
      </c>
      <c r="E93" s="2" t="s">
        <v>20</v>
      </c>
      <c r="F93" s="2" t="s">
        <v>21</v>
      </c>
      <c r="G93" s="2" t="s">
        <v>22</v>
      </c>
      <c r="H93" s="8" t="s">
        <v>33</v>
      </c>
      <c r="I93" s="20" t="s">
        <v>140</v>
      </c>
      <c r="J93" s="2">
        <v>0.55000000000000004</v>
      </c>
      <c r="K93" s="4">
        <v>46193</v>
      </c>
      <c r="L93" s="11" t="b">
        <v>1</v>
      </c>
      <c r="M93" s="2" t="s">
        <v>1219</v>
      </c>
      <c r="N93" s="2">
        <v>3</v>
      </c>
      <c r="O93" s="64" t="s">
        <v>143</v>
      </c>
      <c r="P93" s="65">
        <v>46134</v>
      </c>
      <c r="Q93" s="65">
        <v>46142</v>
      </c>
      <c r="R93" s="65">
        <v>46157</v>
      </c>
      <c r="S93" s="65">
        <v>46163</v>
      </c>
      <c r="T93" s="137">
        <v>46204.413194444445</v>
      </c>
      <c r="U93" s="138">
        <v>77.23</v>
      </c>
    </row>
    <row r="94" spans="1:21" ht="18.75" x14ac:dyDescent="0.3">
      <c r="A94" s="12" t="s">
        <v>148</v>
      </c>
      <c r="B94" s="24" t="s">
        <v>79</v>
      </c>
      <c r="C94" s="2">
        <v>14558067907</v>
      </c>
      <c r="D94" s="2">
        <v>71205556</v>
      </c>
      <c r="E94" s="2" t="s">
        <v>20</v>
      </c>
      <c r="F94" s="2" t="s">
        <v>21</v>
      </c>
      <c r="G94" s="2" t="s">
        <v>22</v>
      </c>
      <c r="H94" s="2" t="s">
        <v>30</v>
      </c>
      <c r="I94" s="20" t="s">
        <v>140</v>
      </c>
      <c r="J94" s="2">
        <v>0.53</v>
      </c>
      <c r="K94" s="4">
        <v>46193</v>
      </c>
      <c r="L94" s="11" t="b">
        <v>1</v>
      </c>
      <c r="M94" s="2" t="s">
        <v>1219</v>
      </c>
      <c r="N94" s="2">
        <v>2</v>
      </c>
      <c r="O94" s="64" t="s">
        <v>80</v>
      </c>
      <c r="P94" s="65">
        <v>46125</v>
      </c>
      <c r="Q94" s="65">
        <v>46132</v>
      </c>
      <c r="R94" s="65">
        <v>46148</v>
      </c>
      <c r="S94" s="65">
        <v>46154</v>
      </c>
      <c r="T94" s="137">
        <v>46204.426388888889</v>
      </c>
      <c r="U94" s="138">
        <v>25.35</v>
      </c>
    </row>
    <row r="95" spans="1:21" ht="18.75" x14ac:dyDescent="0.3">
      <c r="A95" s="12" t="s">
        <v>149</v>
      </c>
      <c r="B95" s="24" t="s">
        <v>79</v>
      </c>
      <c r="C95" s="2">
        <v>14558067964</v>
      </c>
      <c r="D95" s="2">
        <v>71205556</v>
      </c>
      <c r="E95" s="2" t="s">
        <v>20</v>
      </c>
      <c r="F95" s="2" t="s">
        <v>21</v>
      </c>
      <c r="G95" s="2" t="s">
        <v>22</v>
      </c>
      <c r="H95" s="7" t="s">
        <v>23</v>
      </c>
      <c r="I95" s="20" t="s">
        <v>140</v>
      </c>
      <c r="J95" s="9">
        <v>0</v>
      </c>
      <c r="K95" s="4">
        <v>46193</v>
      </c>
      <c r="L95" s="11" t="b">
        <v>1</v>
      </c>
      <c r="M95" s="2" t="s">
        <v>1219</v>
      </c>
      <c r="N95" s="2">
        <v>1</v>
      </c>
      <c r="O95" s="64" t="s">
        <v>80</v>
      </c>
      <c r="P95" s="65">
        <v>46125</v>
      </c>
      <c r="Q95" s="65">
        <v>46132</v>
      </c>
      <c r="R95" s="65">
        <v>46148</v>
      </c>
      <c r="S95" s="65">
        <v>46154</v>
      </c>
      <c r="T95" s="137">
        <v>46204.657638888886</v>
      </c>
      <c r="U95" s="138">
        <v>45.284999999999997</v>
      </c>
    </row>
    <row r="96" spans="1:21" ht="18.75" x14ac:dyDescent="0.3">
      <c r="A96" s="12" t="s">
        <v>150</v>
      </c>
      <c r="B96" s="27" t="s">
        <v>19</v>
      </c>
      <c r="C96" s="2">
        <v>14558066248</v>
      </c>
      <c r="D96" s="2">
        <v>82929702</v>
      </c>
      <c r="E96" s="2" t="s">
        <v>20</v>
      </c>
      <c r="F96" s="2" t="s">
        <v>21</v>
      </c>
      <c r="G96" s="2" t="s">
        <v>22</v>
      </c>
      <c r="H96" s="7" t="s">
        <v>23</v>
      </c>
      <c r="I96" s="46" t="s">
        <v>151</v>
      </c>
      <c r="J96" s="9">
        <v>0</v>
      </c>
      <c r="K96" s="4">
        <v>46218</v>
      </c>
      <c r="L96" s="11" t="b">
        <v>0</v>
      </c>
      <c r="M96" s="2" t="s">
        <v>1220</v>
      </c>
      <c r="N96" s="7">
        <v>3</v>
      </c>
      <c r="O96" s="64" t="s">
        <v>118</v>
      </c>
      <c r="P96" s="65">
        <v>46273</v>
      </c>
      <c r="Q96" s="65">
        <v>46280</v>
      </c>
      <c r="R96" s="65">
        <v>46295</v>
      </c>
      <c r="S96" s="65">
        <v>46301</v>
      </c>
      <c r="T96" s="136"/>
      <c r="U96" s="136"/>
    </row>
    <row r="97" spans="1:21" ht="18.75" x14ac:dyDescent="0.3">
      <c r="A97" s="12" t="s">
        <v>152</v>
      </c>
      <c r="B97" s="29" t="s">
        <v>27</v>
      </c>
      <c r="C97" s="2">
        <v>14558069416</v>
      </c>
      <c r="D97" s="2">
        <v>82929702</v>
      </c>
      <c r="E97" s="2" t="s">
        <v>20</v>
      </c>
      <c r="F97" s="2" t="s">
        <v>21</v>
      </c>
      <c r="G97" s="2" t="s">
        <v>22</v>
      </c>
      <c r="H97" s="2" t="s">
        <v>30</v>
      </c>
      <c r="I97" s="46" t="s">
        <v>151</v>
      </c>
      <c r="J97" s="9">
        <v>0</v>
      </c>
      <c r="K97" s="4">
        <v>46218</v>
      </c>
      <c r="L97" s="11" t="b">
        <v>0</v>
      </c>
      <c r="M97" s="2" t="s">
        <v>1220</v>
      </c>
      <c r="N97" s="7">
        <v>5</v>
      </c>
      <c r="O97" s="64" t="s">
        <v>121</v>
      </c>
      <c r="P97" s="65">
        <v>46213</v>
      </c>
      <c r="Q97" s="65">
        <v>46220</v>
      </c>
      <c r="R97" s="65">
        <v>46234</v>
      </c>
      <c r="S97" s="65">
        <v>46240</v>
      </c>
      <c r="T97" s="136"/>
      <c r="U97" s="136"/>
    </row>
    <row r="98" spans="1:21" ht="18.75" x14ac:dyDescent="0.3">
      <c r="A98" s="12" t="s">
        <v>153</v>
      </c>
      <c r="B98" s="27" t="s">
        <v>19</v>
      </c>
      <c r="C98" s="2">
        <v>14558069465</v>
      </c>
      <c r="D98" s="2">
        <v>82929702</v>
      </c>
      <c r="E98" s="2" t="s">
        <v>20</v>
      </c>
      <c r="F98" s="2" t="s">
        <v>21</v>
      </c>
      <c r="G98" s="2" t="s">
        <v>22</v>
      </c>
      <c r="H98" s="7" t="s">
        <v>23</v>
      </c>
      <c r="I98" s="46" t="s">
        <v>151</v>
      </c>
      <c r="J98" s="9">
        <v>0</v>
      </c>
      <c r="K98" s="4">
        <v>46218</v>
      </c>
      <c r="L98" s="11" t="b">
        <v>0</v>
      </c>
      <c r="M98" s="2" t="s">
        <v>1220</v>
      </c>
      <c r="N98" s="7">
        <v>2</v>
      </c>
      <c r="O98" s="64" t="s">
        <v>118</v>
      </c>
      <c r="P98" s="65">
        <v>46273</v>
      </c>
      <c r="Q98" s="65">
        <v>46280</v>
      </c>
      <c r="R98" s="65">
        <v>46295</v>
      </c>
      <c r="S98" s="65">
        <v>46301</v>
      </c>
      <c r="T98" s="136"/>
      <c r="U98" s="136"/>
    </row>
    <row r="99" spans="1:21" ht="18.75" x14ac:dyDescent="0.3">
      <c r="A99" s="12" t="s">
        <v>154</v>
      </c>
      <c r="B99" s="29" t="s">
        <v>27</v>
      </c>
      <c r="C99" s="2">
        <v>14558068988</v>
      </c>
      <c r="D99" s="2">
        <v>82929702</v>
      </c>
      <c r="E99" s="2" t="s">
        <v>20</v>
      </c>
      <c r="F99" s="2" t="s">
        <v>21</v>
      </c>
      <c r="G99" s="2" t="s">
        <v>22</v>
      </c>
      <c r="H99" s="8" t="s">
        <v>33</v>
      </c>
      <c r="I99" s="46" t="s">
        <v>151</v>
      </c>
      <c r="J99" s="9">
        <v>0</v>
      </c>
      <c r="K99" s="4">
        <v>46219</v>
      </c>
      <c r="L99" s="11" t="b">
        <v>0</v>
      </c>
      <c r="M99" s="2" t="s">
        <v>1220</v>
      </c>
      <c r="N99" s="7">
        <v>9</v>
      </c>
      <c r="O99" s="64" t="s">
        <v>121</v>
      </c>
      <c r="P99" s="65">
        <v>46213</v>
      </c>
      <c r="Q99" s="65">
        <v>46220</v>
      </c>
      <c r="R99" s="65">
        <v>46234</v>
      </c>
      <c r="S99" s="65">
        <v>46240</v>
      </c>
      <c r="T99" s="136"/>
      <c r="U99" s="136"/>
    </row>
    <row r="100" spans="1:21" ht="18.75" x14ac:dyDescent="0.3">
      <c r="A100" s="12" t="s">
        <v>155</v>
      </c>
      <c r="B100" s="27" t="s">
        <v>19</v>
      </c>
      <c r="C100" s="2">
        <v>14558066305</v>
      </c>
      <c r="D100" s="2">
        <v>82929702</v>
      </c>
      <c r="E100" s="2" t="s">
        <v>20</v>
      </c>
      <c r="F100" s="2" t="s">
        <v>21</v>
      </c>
      <c r="G100" s="2" t="s">
        <v>22</v>
      </c>
      <c r="H100" s="7" t="s">
        <v>23</v>
      </c>
      <c r="I100" s="46" t="s">
        <v>151</v>
      </c>
      <c r="J100" s="9">
        <v>0</v>
      </c>
      <c r="K100" s="4">
        <v>46218</v>
      </c>
      <c r="L100" s="11" t="b">
        <v>0</v>
      </c>
      <c r="M100" s="2" t="s">
        <v>1220</v>
      </c>
      <c r="N100" s="7">
        <v>1</v>
      </c>
      <c r="O100" s="64" t="s">
        <v>118</v>
      </c>
      <c r="P100" s="65">
        <v>46273</v>
      </c>
      <c r="Q100" s="65">
        <v>46280</v>
      </c>
      <c r="R100" s="65">
        <v>46295</v>
      </c>
      <c r="S100" s="65">
        <v>46301</v>
      </c>
      <c r="T100" s="136"/>
      <c r="U100" s="136"/>
    </row>
    <row r="101" spans="1:21" ht="18.75" x14ac:dyDescent="0.3">
      <c r="A101" s="12" t="s">
        <v>156</v>
      </c>
      <c r="B101" s="29" t="s">
        <v>27</v>
      </c>
      <c r="C101" s="2">
        <v>14558068962</v>
      </c>
      <c r="D101" s="2">
        <v>82929702</v>
      </c>
      <c r="E101" s="2" t="s">
        <v>20</v>
      </c>
      <c r="F101" s="2" t="s">
        <v>21</v>
      </c>
      <c r="G101" s="2" t="s">
        <v>22</v>
      </c>
      <c r="H101" s="8" t="s">
        <v>33</v>
      </c>
      <c r="I101" s="46" t="s">
        <v>151</v>
      </c>
      <c r="J101" s="9">
        <v>0</v>
      </c>
      <c r="K101" s="4">
        <v>46219</v>
      </c>
      <c r="L101" s="11" t="b">
        <v>0</v>
      </c>
      <c r="M101" s="2" t="s">
        <v>1220</v>
      </c>
      <c r="N101" s="7">
        <v>8</v>
      </c>
      <c r="O101" s="64" t="s">
        <v>121</v>
      </c>
      <c r="P101" s="65">
        <v>46213</v>
      </c>
      <c r="Q101" s="65">
        <v>46220</v>
      </c>
      <c r="R101" s="65">
        <v>46234</v>
      </c>
      <c r="S101" s="65">
        <v>46240</v>
      </c>
      <c r="T101" s="136"/>
      <c r="U101" s="136"/>
    </row>
    <row r="102" spans="1:21" ht="18.75" x14ac:dyDescent="0.3">
      <c r="A102" s="12" t="s">
        <v>157</v>
      </c>
      <c r="B102" s="27" t="s">
        <v>19</v>
      </c>
      <c r="C102" s="2">
        <v>14558068939</v>
      </c>
      <c r="D102" s="2">
        <v>82929702</v>
      </c>
      <c r="E102" s="2" t="s">
        <v>20</v>
      </c>
      <c r="F102" s="2" t="s">
        <v>21</v>
      </c>
      <c r="G102" s="2" t="s">
        <v>22</v>
      </c>
      <c r="H102" s="2" t="s">
        <v>30</v>
      </c>
      <c r="I102" s="46" t="s">
        <v>151</v>
      </c>
      <c r="J102" s="9">
        <v>0</v>
      </c>
      <c r="K102" s="4">
        <v>46218</v>
      </c>
      <c r="L102" s="11" t="b">
        <v>0</v>
      </c>
      <c r="M102" s="2" t="s">
        <v>1220</v>
      </c>
      <c r="N102" s="7">
        <v>6</v>
      </c>
      <c r="O102" s="64" t="s">
        <v>118</v>
      </c>
      <c r="P102" s="65">
        <v>46273</v>
      </c>
      <c r="Q102" s="65">
        <v>46280</v>
      </c>
      <c r="R102" s="65">
        <v>46295</v>
      </c>
      <c r="S102" s="65">
        <v>46301</v>
      </c>
      <c r="T102" s="136"/>
      <c r="U102" s="136"/>
    </row>
    <row r="103" spans="1:21" ht="18.75" x14ac:dyDescent="0.3">
      <c r="A103" s="12" t="s">
        <v>158</v>
      </c>
      <c r="B103" s="29" t="s">
        <v>27</v>
      </c>
      <c r="C103" s="2">
        <v>14558069549</v>
      </c>
      <c r="D103" s="2">
        <v>82929702</v>
      </c>
      <c r="E103" s="2" t="s">
        <v>20</v>
      </c>
      <c r="F103" s="2" t="s">
        <v>21</v>
      </c>
      <c r="G103" s="2" t="s">
        <v>22</v>
      </c>
      <c r="H103" s="8" t="s">
        <v>33</v>
      </c>
      <c r="I103" s="46" t="s">
        <v>151</v>
      </c>
      <c r="J103" s="9">
        <v>0</v>
      </c>
      <c r="K103" s="4">
        <v>46219</v>
      </c>
      <c r="L103" s="11" t="b">
        <v>0</v>
      </c>
      <c r="M103" s="2" t="s">
        <v>1220</v>
      </c>
      <c r="N103" s="7">
        <v>7</v>
      </c>
      <c r="O103" s="64" t="s">
        <v>159</v>
      </c>
      <c r="P103" s="65">
        <v>46197</v>
      </c>
      <c r="Q103" s="65">
        <v>46204</v>
      </c>
      <c r="R103" s="65">
        <v>46218</v>
      </c>
      <c r="S103" s="65">
        <v>46224</v>
      </c>
      <c r="T103" s="136"/>
      <c r="U103" s="136"/>
    </row>
    <row r="104" spans="1:21" ht="18.75" x14ac:dyDescent="0.3">
      <c r="A104" s="12" t="s">
        <v>160</v>
      </c>
      <c r="B104" s="27" t="s">
        <v>19</v>
      </c>
      <c r="C104" s="2">
        <v>14558066099</v>
      </c>
      <c r="D104" s="2">
        <v>82929702</v>
      </c>
      <c r="E104" s="2" t="s">
        <v>20</v>
      </c>
      <c r="F104" s="2" t="s">
        <v>21</v>
      </c>
      <c r="G104" s="2" t="s">
        <v>22</v>
      </c>
      <c r="H104" s="2" t="s">
        <v>30</v>
      </c>
      <c r="I104" s="46" t="s">
        <v>151</v>
      </c>
      <c r="J104" s="9">
        <v>0</v>
      </c>
      <c r="K104" s="4">
        <v>46218</v>
      </c>
      <c r="L104" s="11" t="b">
        <v>0</v>
      </c>
      <c r="M104" s="2" t="s">
        <v>1220</v>
      </c>
      <c r="N104" s="7">
        <v>4</v>
      </c>
      <c r="O104" s="64" t="s">
        <v>118</v>
      </c>
      <c r="P104" s="65">
        <v>46273</v>
      </c>
      <c r="Q104" s="65">
        <v>46280</v>
      </c>
      <c r="R104" s="65">
        <v>46295</v>
      </c>
      <c r="S104" s="65">
        <v>46301</v>
      </c>
      <c r="T104" s="136"/>
      <c r="U104" s="136"/>
    </row>
    <row r="105" spans="1:21" ht="18.75" x14ac:dyDescent="0.3">
      <c r="A105" s="12" t="s">
        <v>161</v>
      </c>
      <c r="B105" s="27" t="s">
        <v>19</v>
      </c>
      <c r="C105" s="2">
        <v>14558069093</v>
      </c>
      <c r="D105" s="2">
        <v>82929684</v>
      </c>
      <c r="E105" s="2" t="s">
        <v>20</v>
      </c>
      <c r="F105" s="2" t="s">
        <v>21</v>
      </c>
      <c r="G105" s="2" t="s">
        <v>22</v>
      </c>
      <c r="H105" s="7" t="s">
        <v>23</v>
      </c>
      <c r="I105" s="44" t="s">
        <v>162</v>
      </c>
      <c r="J105" s="9">
        <v>0</v>
      </c>
      <c r="K105" s="4">
        <v>46197</v>
      </c>
      <c r="L105" s="11" t="b">
        <v>1</v>
      </c>
      <c r="M105" s="2" t="s">
        <v>1286</v>
      </c>
      <c r="N105" s="2">
        <v>9</v>
      </c>
      <c r="O105" s="64" t="s">
        <v>25</v>
      </c>
      <c r="P105" s="65">
        <v>46179</v>
      </c>
      <c r="Q105" s="65">
        <v>46186</v>
      </c>
      <c r="R105" s="65">
        <v>46202</v>
      </c>
      <c r="S105" s="65">
        <v>46207</v>
      </c>
      <c r="T105" s="136"/>
      <c r="U105" s="136"/>
    </row>
    <row r="106" spans="1:21" ht="18.75" x14ac:dyDescent="0.3">
      <c r="A106" s="12" t="s">
        <v>163</v>
      </c>
      <c r="B106" s="27" t="s">
        <v>19</v>
      </c>
      <c r="C106" s="2">
        <v>14558069242</v>
      </c>
      <c r="D106" s="2">
        <v>82929684</v>
      </c>
      <c r="E106" s="2" t="s">
        <v>20</v>
      </c>
      <c r="F106" s="2" t="s">
        <v>21</v>
      </c>
      <c r="G106" s="2" t="s">
        <v>22</v>
      </c>
      <c r="H106" s="2" t="s">
        <v>30</v>
      </c>
      <c r="I106" s="44" t="s">
        <v>162</v>
      </c>
      <c r="J106" s="9">
        <v>0</v>
      </c>
      <c r="K106" s="4">
        <v>46197</v>
      </c>
      <c r="L106" s="11" t="b">
        <v>1</v>
      </c>
      <c r="M106" s="2" t="s">
        <v>1286</v>
      </c>
      <c r="N106" s="2">
        <v>8</v>
      </c>
      <c r="O106" s="64" t="s">
        <v>25</v>
      </c>
      <c r="P106" s="65">
        <v>46179</v>
      </c>
      <c r="Q106" s="65">
        <v>46186</v>
      </c>
      <c r="R106" s="65">
        <v>46202</v>
      </c>
      <c r="S106" s="65">
        <v>46207</v>
      </c>
      <c r="T106" s="136"/>
      <c r="U106" s="136"/>
    </row>
    <row r="107" spans="1:21" ht="18.75" x14ac:dyDescent="0.3">
      <c r="A107" s="12" t="s">
        <v>164</v>
      </c>
      <c r="B107" s="29" t="s">
        <v>27</v>
      </c>
      <c r="C107" s="2">
        <v>14558070083</v>
      </c>
      <c r="D107" s="2">
        <v>82929684</v>
      </c>
      <c r="E107" s="2" t="s">
        <v>20</v>
      </c>
      <c r="F107" s="2" t="s">
        <v>21</v>
      </c>
      <c r="G107" s="2" t="s">
        <v>22</v>
      </c>
      <c r="H107" s="8" t="s">
        <v>33</v>
      </c>
      <c r="I107" s="44" t="s">
        <v>162</v>
      </c>
      <c r="J107" s="9">
        <v>0</v>
      </c>
      <c r="K107" s="4">
        <v>46197</v>
      </c>
      <c r="L107" s="11" t="b">
        <v>1</v>
      </c>
      <c r="M107" s="2" t="s">
        <v>1286</v>
      </c>
      <c r="N107" s="2">
        <v>1</v>
      </c>
      <c r="O107" s="64" t="s">
        <v>132</v>
      </c>
      <c r="P107" s="65">
        <v>46153</v>
      </c>
      <c r="Q107" s="65">
        <v>46160</v>
      </c>
      <c r="R107" s="65">
        <v>46174</v>
      </c>
      <c r="S107" s="65">
        <v>46179</v>
      </c>
      <c r="T107" s="136"/>
      <c r="U107" s="136"/>
    </row>
    <row r="108" spans="1:21" ht="18.75" x14ac:dyDescent="0.3">
      <c r="A108" s="12" t="s">
        <v>165</v>
      </c>
      <c r="B108" s="27" t="s">
        <v>19</v>
      </c>
      <c r="C108" s="2">
        <v>14558069341</v>
      </c>
      <c r="D108" s="2">
        <v>82929684</v>
      </c>
      <c r="E108" s="2" t="s">
        <v>20</v>
      </c>
      <c r="F108" s="2" t="s">
        <v>21</v>
      </c>
      <c r="G108" s="2" t="s">
        <v>22</v>
      </c>
      <c r="H108" s="8" t="s">
        <v>33</v>
      </c>
      <c r="I108" s="44" t="s">
        <v>162</v>
      </c>
      <c r="J108" s="9">
        <v>0</v>
      </c>
      <c r="K108" s="4">
        <v>46197</v>
      </c>
      <c r="L108" s="11" t="b">
        <v>1</v>
      </c>
      <c r="M108" s="2" t="s">
        <v>1286</v>
      </c>
      <c r="N108" s="2">
        <v>7</v>
      </c>
      <c r="O108" s="64" t="s">
        <v>130</v>
      </c>
      <c r="P108" s="65">
        <v>46167</v>
      </c>
      <c r="Q108" s="65">
        <v>46174</v>
      </c>
      <c r="R108" s="65">
        <v>46188</v>
      </c>
      <c r="S108" s="65">
        <v>46195</v>
      </c>
      <c r="T108" s="136"/>
      <c r="U108" s="136"/>
    </row>
    <row r="109" spans="1:21" ht="18.75" x14ac:dyDescent="0.3">
      <c r="A109" s="12" t="s">
        <v>166</v>
      </c>
      <c r="B109" s="29" t="s">
        <v>27</v>
      </c>
      <c r="C109" s="2">
        <v>14558068384</v>
      </c>
      <c r="D109" s="2">
        <v>82929684</v>
      </c>
      <c r="E109" s="2" t="s">
        <v>20</v>
      </c>
      <c r="F109" s="2" t="s">
        <v>21</v>
      </c>
      <c r="G109" s="2" t="s">
        <v>22</v>
      </c>
      <c r="H109" s="2" t="s">
        <v>30</v>
      </c>
      <c r="I109" s="44" t="s">
        <v>162</v>
      </c>
      <c r="J109" s="9">
        <v>0</v>
      </c>
      <c r="K109" s="4">
        <v>46197</v>
      </c>
      <c r="L109" s="11" t="b">
        <v>0</v>
      </c>
      <c r="M109" s="2" t="s">
        <v>1286</v>
      </c>
      <c r="N109" s="7">
        <v>2</v>
      </c>
      <c r="O109" s="64" t="s">
        <v>132</v>
      </c>
      <c r="P109" s="65">
        <v>46153</v>
      </c>
      <c r="Q109" s="65">
        <v>46160</v>
      </c>
      <c r="R109" s="65">
        <v>46174</v>
      </c>
      <c r="S109" s="65">
        <v>46179</v>
      </c>
      <c r="T109" s="136"/>
      <c r="U109" s="136"/>
    </row>
    <row r="110" spans="1:21" ht="18.75" x14ac:dyDescent="0.3">
      <c r="A110" s="12" t="s">
        <v>167</v>
      </c>
      <c r="B110" s="27" t="s">
        <v>19</v>
      </c>
      <c r="C110" s="2">
        <v>14558069200</v>
      </c>
      <c r="D110" s="2">
        <v>82929684</v>
      </c>
      <c r="E110" s="2" t="s">
        <v>20</v>
      </c>
      <c r="F110" s="2" t="s">
        <v>21</v>
      </c>
      <c r="G110" s="2" t="s">
        <v>22</v>
      </c>
      <c r="H110" s="7" t="s">
        <v>23</v>
      </c>
      <c r="I110" s="44" t="s">
        <v>162</v>
      </c>
      <c r="J110" s="9">
        <v>0</v>
      </c>
      <c r="K110" s="4">
        <v>46197</v>
      </c>
      <c r="L110" s="11" t="b">
        <v>1</v>
      </c>
      <c r="M110" s="2" t="s">
        <v>1286</v>
      </c>
      <c r="N110" s="2">
        <v>6</v>
      </c>
      <c r="O110" s="64" t="s">
        <v>130</v>
      </c>
      <c r="P110" s="65">
        <v>46167</v>
      </c>
      <c r="Q110" s="65">
        <v>46174</v>
      </c>
      <c r="R110" s="65">
        <v>46188</v>
      </c>
      <c r="S110" s="65">
        <v>46195</v>
      </c>
      <c r="T110" s="136"/>
      <c r="U110" s="136"/>
    </row>
    <row r="111" spans="1:21" ht="18.75" x14ac:dyDescent="0.3">
      <c r="A111" s="12" t="s">
        <v>168</v>
      </c>
      <c r="B111" s="29" t="s">
        <v>27</v>
      </c>
      <c r="C111" s="2">
        <v>14558067972</v>
      </c>
      <c r="D111" s="2">
        <v>82929684</v>
      </c>
      <c r="E111" s="2" t="s">
        <v>20</v>
      </c>
      <c r="F111" s="2" t="s">
        <v>21</v>
      </c>
      <c r="G111" s="2" t="s">
        <v>22</v>
      </c>
      <c r="H111" s="7" t="s">
        <v>23</v>
      </c>
      <c r="I111" s="44" t="s">
        <v>162</v>
      </c>
      <c r="J111" s="9">
        <v>0</v>
      </c>
      <c r="K111" s="4">
        <v>46197</v>
      </c>
      <c r="L111" s="11" t="b">
        <v>1</v>
      </c>
      <c r="M111" s="2" t="s">
        <v>1286</v>
      </c>
      <c r="N111" s="2">
        <v>3</v>
      </c>
      <c r="O111" s="64" t="s">
        <v>132</v>
      </c>
      <c r="P111" s="65">
        <v>46153</v>
      </c>
      <c r="Q111" s="65">
        <v>46160</v>
      </c>
      <c r="R111" s="65">
        <v>46174</v>
      </c>
      <c r="S111" s="65">
        <v>46179</v>
      </c>
      <c r="T111" s="136"/>
      <c r="U111" s="136"/>
    </row>
    <row r="112" spans="1:21" ht="18.75" x14ac:dyDescent="0.3">
      <c r="A112" s="12" t="s">
        <v>169</v>
      </c>
      <c r="B112" s="27" t="s">
        <v>19</v>
      </c>
      <c r="C112" s="2">
        <v>14558069168</v>
      </c>
      <c r="D112" s="2">
        <v>82929684</v>
      </c>
      <c r="E112" s="2" t="s">
        <v>20</v>
      </c>
      <c r="F112" s="2" t="s">
        <v>21</v>
      </c>
      <c r="G112" s="2" t="s">
        <v>22</v>
      </c>
      <c r="H112" s="2" t="s">
        <v>30</v>
      </c>
      <c r="I112" s="44" t="s">
        <v>162</v>
      </c>
      <c r="J112" s="9">
        <v>0</v>
      </c>
      <c r="K112" s="4">
        <v>46197</v>
      </c>
      <c r="L112" s="11" t="b">
        <v>1</v>
      </c>
      <c r="M112" s="2" t="s">
        <v>1286</v>
      </c>
      <c r="N112" s="2">
        <v>5</v>
      </c>
      <c r="O112" s="64" t="s">
        <v>130</v>
      </c>
      <c r="P112" s="65">
        <v>46167</v>
      </c>
      <c r="Q112" s="65">
        <v>46174</v>
      </c>
      <c r="R112" s="65">
        <v>46188</v>
      </c>
      <c r="S112" s="65">
        <v>46195</v>
      </c>
      <c r="T112" s="136"/>
      <c r="U112" s="136"/>
    </row>
    <row r="113" spans="1:21" ht="18.75" x14ac:dyDescent="0.3">
      <c r="A113" s="12" t="s">
        <v>170</v>
      </c>
      <c r="B113" s="29" t="s">
        <v>27</v>
      </c>
      <c r="C113" s="2">
        <v>14558069267</v>
      </c>
      <c r="D113" s="2">
        <v>82929684</v>
      </c>
      <c r="E113" s="2" t="s">
        <v>20</v>
      </c>
      <c r="F113" s="2" t="s">
        <v>21</v>
      </c>
      <c r="G113" s="2" t="s">
        <v>22</v>
      </c>
      <c r="H113" s="8" t="s">
        <v>33</v>
      </c>
      <c r="I113" s="44" t="s">
        <v>162</v>
      </c>
      <c r="J113" s="9">
        <v>0</v>
      </c>
      <c r="K113" s="4">
        <v>46197</v>
      </c>
      <c r="L113" s="11" t="b">
        <v>1</v>
      </c>
      <c r="M113" s="2" t="s">
        <v>1286</v>
      </c>
      <c r="N113" s="2">
        <v>4</v>
      </c>
      <c r="O113" s="64" t="s">
        <v>132</v>
      </c>
      <c r="P113" s="65">
        <v>46153</v>
      </c>
      <c r="Q113" s="65">
        <v>46160</v>
      </c>
      <c r="R113" s="65">
        <v>46174</v>
      </c>
      <c r="S113" s="65">
        <v>46179</v>
      </c>
      <c r="T113" s="136"/>
      <c r="U113" s="136"/>
    </row>
    <row r="114" spans="1:21" ht="18.75" x14ac:dyDescent="0.3">
      <c r="A114" s="12" t="s">
        <v>171</v>
      </c>
      <c r="B114" s="24" t="s">
        <v>79</v>
      </c>
      <c r="C114" s="2">
        <v>14558068194</v>
      </c>
      <c r="D114" s="2">
        <v>71205556</v>
      </c>
      <c r="E114" s="2" t="s">
        <v>20</v>
      </c>
      <c r="F114" s="2" t="s">
        <v>21</v>
      </c>
      <c r="G114" s="2" t="s">
        <v>22</v>
      </c>
      <c r="H114" s="2" t="s">
        <v>30</v>
      </c>
      <c r="I114" s="19" t="s">
        <v>172</v>
      </c>
      <c r="J114" s="2">
        <v>1.0900000000000001</v>
      </c>
      <c r="K114" s="4">
        <v>46195</v>
      </c>
      <c r="L114" s="11" t="b">
        <v>1</v>
      </c>
      <c r="M114" s="2" t="s">
        <v>1221</v>
      </c>
      <c r="N114" s="2">
        <v>5</v>
      </c>
      <c r="O114" s="64" t="s">
        <v>143</v>
      </c>
      <c r="P114" s="65">
        <v>46134</v>
      </c>
      <c r="Q114" s="65">
        <v>46142</v>
      </c>
      <c r="R114" s="65">
        <v>46157</v>
      </c>
      <c r="S114" s="65">
        <v>46163</v>
      </c>
      <c r="T114" s="137">
        <v>46204.65625</v>
      </c>
      <c r="U114" s="138">
        <v>47.1</v>
      </c>
    </row>
    <row r="115" spans="1:21" ht="18.75" x14ac:dyDescent="0.3">
      <c r="A115" s="12" t="s">
        <v>173</v>
      </c>
      <c r="B115" s="28" t="s">
        <v>174</v>
      </c>
      <c r="C115" s="2">
        <v>14558068236</v>
      </c>
      <c r="D115" s="2">
        <v>71205556</v>
      </c>
      <c r="E115" s="2" t="s">
        <v>20</v>
      </c>
      <c r="F115" s="2" t="s">
        <v>21</v>
      </c>
      <c r="G115" s="2" t="s">
        <v>22</v>
      </c>
      <c r="H115" s="8" t="s">
        <v>33</v>
      </c>
      <c r="I115" s="19" t="s">
        <v>172</v>
      </c>
      <c r="J115" s="2">
        <v>4.2300000000000004</v>
      </c>
      <c r="K115" s="4">
        <v>46195</v>
      </c>
      <c r="L115" s="11" t="b">
        <v>1</v>
      </c>
      <c r="M115" s="2" t="s">
        <v>1221</v>
      </c>
      <c r="N115" s="2">
        <v>8</v>
      </c>
      <c r="O115" s="64" t="s">
        <v>98</v>
      </c>
      <c r="P115" s="65">
        <v>46140</v>
      </c>
      <c r="Q115" s="65">
        <v>46148</v>
      </c>
      <c r="R115" s="65">
        <v>46162</v>
      </c>
      <c r="S115" s="65">
        <v>46168</v>
      </c>
      <c r="T115" s="139">
        <v>46204.918749999997</v>
      </c>
      <c r="U115" s="136">
        <v>38.9</v>
      </c>
    </row>
    <row r="116" spans="1:21" ht="18.75" x14ac:dyDescent="0.3">
      <c r="A116" s="12" t="s">
        <v>175</v>
      </c>
      <c r="B116" s="24" t="s">
        <v>79</v>
      </c>
      <c r="C116" s="2">
        <v>14558068178</v>
      </c>
      <c r="D116" s="2">
        <v>71205556</v>
      </c>
      <c r="E116" s="2" t="s">
        <v>20</v>
      </c>
      <c r="F116" s="2" t="s">
        <v>21</v>
      </c>
      <c r="G116" s="2" t="s">
        <v>22</v>
      </c>
      <c r="H116" s="7" t="s">
        <v>23</v>
      </c>
      <c r="I116" s="19" t="s">
        <v>172</v>
      </c>
      <c r="J116" s="2">
        <v>1.1100000000000001</v>
      </c>
      <c r="K116" s="4">
        <v>46195</v>
      </c>
      <c r="L116" s="11" t="b">
        <v>1</v>
      </c>
      <c r="M116" s="2" t="s">
        <v>1221</v>
      </c>
      <c r="N116" s="2">
        <v>4</v>
      </c>
      <c r="O116" s="64" t="s">
        <v>143</v>
      </c>
      <c r="P116" s="65">
        <v>46134</v>
      </c>
      <c r="Q116" s="65">
        <v>46142</v>
      </c>
      <c r="R116" s="65">
        <v>46157</v>
      </c>
      <c r="S116" s="65">
        <v>46163</v>
      </c>
      <c r="T116" s="137">
        <v>46204.875</v>
      </c>
      <c r="U116" s="138">
        <v>53.9</v>
      </c>
    </row>
    <row r="117" spans="1:21" ht="18.75" x14ac:dyDescent="0.3">
      <c r="A117" s="12" t="s">
        <v>176</v>
      </c>
      <c r="B117" s="28" t="s">
        <v>174</v>
      </c>
      <c r="C117" s="2">
        <v>14558068368</v>
      </c>
      <c r="D117" s="2">
        <v>71205556</v>
      </c>
      <c r="E117" s="2" t="s">
        <v>20</v>
      </c>
      <c r="F117" s="2" t="s">
        <v>21</v>
      </c>
      <c r="G117" s="2" t="s">
        <v>22</v>
      </c>
      <c r="H117" s="2" t="s">
        <v>30</v>
      </c>
      <c r="I117" s="19" t="s">
        <v>172</v>
      </c>
      <c r="J117" s="2">
        <v>5.23</v>
      </c>
      <c r="K117" s="4">
        <v>46195</v>
      </c>
      <c r="L117" s="11" t="b">
        <v>1</v>
      </c>
      <c r="M117" s="2" t="s">
        <v>1221</v>
      </c>
      <c r="N117" s="2">
        <v>7</v>
      </c>
      <c r="O117" s="64" t="s">
        <v>98</v>
      </c>
      <c r="P117" s="65">
        <v>46140</v>
      </c>
      <c r="Q117" s="65">
        <v>46148</v>
      </c>
      <c r="R117" s="65">
        <v>46162</v>
      </c>
      <c r="S117" s="65">
        <v>46168</v>
      </c>
      <c r="T117" s="139">
        <v>46204.657638888886</v>
      </c>
      <c r="U117" s="136">
        <v>61.851999999999997</v>
      </c>
    </row>
    <row r="118" spans="1:21" ht="18.75" x14ac:dyDescent="0.3">
      <c r="A118" s="12" t="s">
        <v>177</v>
      </c>
      <c r="B118" s="24" t="s">
        <v>79</v>
      </c>
      <c r="C118" s="2">
        <v>14558068160</v>
      </c>
      <c r="D118" s="2">
        <v>71205556</v>
      </c>
      <c r="E118" s="2" t="s">
        <v>20</v>
      </c>
      <c r="F118" s="2" t="s">
        <v>21</v>
      </c>
      <c r="G118" s="2" t="s">
        <v>22</v>
      </c>
      <c r="H118" s="8" t="s">
        <v>33</v>
      </c>
      <c r="I118" s="19" t="s">
        <v>172</v>
      </c>
      <c r="J118" s="2">
        <v>0.38</v>
      </c>
      <c r="K118" s="4">
        <v>46195</v>
      </c>
      <c r="L118" s="11" t="b">
        <v>1</v>
      </c>
      <c r="M118" s="2" t="s">
        <v>1221</v>
      </c>
      <c r="N118" s="2">
        <v>3</v>
      </c>
      <c r="O118" s="64" t="s">
        <v>143</v>
      </c>
      <c r="P118" s="65">
        <v>46134</v>
      </c>
      <c r="Q118" s="65">
        <v>46142</v>
      </c>
      <c r="R118" s="65">
        <v>46157</v>
      </c>
      <c r="S118" s="65">
        <v>46163</v>
      </c>
      <c r="T118" s="137">
        <v>46204.65625</v>
      </c>
      <c r="U118" s="138">
        <v>47.4</v>
      </c>
    </row>
    <row r="119" spans="1:21" ht="18.75" x14ac:dyDescent="0.3">
      <c r="A119" s="12" t="s">
        <v>178</v>
      </c>
      <c r="B119" s="28" t="s">
        <v>174</v>
      </c>
      <c r="C119" s="2">
        <v>14558068392</v>
      </c>
      <c r="D119" s="2">
        <v>71205556</v>
      </c>
      <c r="E119" s="2" t="s">
        <v>20</v>
      </c>
      <c r="F119" s="2" t="s">
        <v>21</v>
      </c>
      <c r="G119" s="2" t="s">
        <v>22</v>
      </c>
      <c r="H119" s="7" t="s">
        <v>23</v>
      </c>
      <c r="I119" s="19" t="s">
        <v>172</v>
      </c>
      <c r="J119" s="2">
        <v>2.74</v>
      </c>
      <c r="K119" s="4">
        <v>46195</v>
      </c>
      <c r="L119" s="11" t="b">
        <v>1</v>
      </c>
      <c r="M119" s="2" t="s">
        <v>1221</v>
      </c>
      <c r="N119" s="2">
        <v>6</v>
      </c>
      <c r="O119" s="64" t="s">
        <v>98</v>
      </c>
      <c r="P119" s="65">
        <v>46140</v>
      </c>
      <c r="Q119" s="65">
        <v>46148</v>
      </c>
      <c r="R119" s="65">
        <v>46162</v>
      </c>
      <c r="S119" s="65">
        <v>46168</v>
      </c>
      <c r="T119" s="139">
        <v>46204.918749999997</v>
      </c>
      <c r="U119" s="136">
        <v>43.3</v>
      </c>
    </row>
    <row r="120" spans="1:21" ht="18.75" x14ac:dyDescent="0.3">
      <c r="A120" s="12" t="s">
        <v>179</v>
      </c>
      <c r="B120" s="24" t="s">
        <v>79</v>
      </c>
      <c r="C120" s="2">
        <v>14558068285</v>
      </c>
      <c r="D120" s="2">
        <v>71205556</v>
      </c>
      <c r="E120" s="2" t="s">
        <v>20</v>
      </c>
      <c r="F120" s="2" t="s">
        <v>21</v>
      </c>
      <c r="G120" s="2" t="s">
        <v>22</v>
      </c>
      <c r="H120" s="2" t="s">
        <v>30</v>
      </c>
      <c r="I120" s="19" t="s">
        <v>172</v>
      </c>
      <c r="J120" s="2">
        <v>1.37</v>
      </c>
      <c r="K120" s="4">
        <v>46195</v>
      </c>
      <c r="L120" s="11" t="b">
        <v>1</v>
      </c>
      <c r="M120" s="2" t="s">
        <v>1221</v>
      </c>
      <c r="N120" s="2">
        <v>2</v>
      </c>
      <c r="O120" s="64" t="s">
        <v>143</v>
      </c>
      <c r="P120" s="65">
        <v>46134</v>
      </c>
      <c r="Q120" s="65">
        <v>46142</v>
      </c>
      <c r="R120" s="65">
        <v>46157</v>
      </c>
      <c r="S120" s="65">
        <v>46163</v>
      </c>
      <c r="T120" s="137">
        <v>46204.65625</v>
      </c>
      <c r="U120" s="138">
        <v>47.1</v>
      </c>
    </row>
    <row r="121" spans="1:21" ht="18.75" x14ac:dyDescent="0.3">
      <c r="A121" s="12" t="s">
        <v>180</v>
      </c>
      <c r="B121" s="24" t="s">
        <v>79</v>
      </c>
      <c r="C121" s="2">
        <v>14558068301</v>
      </c>
      <c r="D121" s="2">
        <v>71205556</v>
      </c>
      <c r="E121" s="2" t="s">
        <v>20</v>
      </c>
      <c r="F121" s="2" t="s">
        <v>21</v>
      </c>
      <c r="G121" s="2" t="s">
        <v>22</v>
      </c>
      <c r="H121" s="7" t="s">
        <v>23</v>
      </c>
      <c r="I121" s="19" t="s">
        <v>172</v>
      </c>
      <c r="J121" s="2">
        <v>1.63</v>
      </c>
      <c r="K121" s="4">
        <v>46195</v>
      </c>
      <c r="L121" s="11" t="b">
        <v>1</v>
      </c>
      <c r="M121" s="2" t="s">
        <v>1221</v>
      </c>
      <c r="N121" s="2">
        <v>1</v>
      </c>
      <c r="O121" s="64" t="s">
        <v>143</v>
      </c>
      <c r="P121" s="65">
        <v>46134</v>
      </c>
      <c r="Q121" s="65">
        <v>46142</v>
      </c>
      <c r="R121" s="65">
        <v>46157</v>
      </c>
      <c r="S121" s="65">
        <v>46163</v>
      </c>
      <c r="T121" s="137">
        <v>46204.65625</v>
      </c>
      <c r="U121" s="138">
        <v>56.3</v>
      </c>
    </row>
    <row r="122" spans="1:21" ht="18.75" x14ac:dyDescent="0.3">
      <c r="A122" s="12" t="s">
        <v>181</v>
      </c>
      <c r="B122" s="29" t="s">
        <v>27</v>
      </c>
      <c r="C122" s="2">
        <v>14558069481</v>
      </c>
      <c r="D122" s="2">
        <v>82929702</v>
      </c>
      <c r="E122" s="2" t="s">
        <v>20</v>
      </c>
      <c r="F122" s="2" t="s">
        <v>21</v>
      </c>
      <c r="G122" s="2" t="s">
        <v>22</v>
      </c>
      <c r="H122" s="2" t="s">
        <v>30</v>
      </c>
      <c r="I122" s="40" t="s">
        <v>182</v>
      </c>
      <c r="J122" s="9">
        <v>0</v>
      </c>
      <c r="K122" s="4">
        <v>46218</v>
      </c>
      <c r="L122" s="11" t="b">
        <v>1</v>
      </c>
      <c r="M122" s="2" t="s">
        <v>1222</v>
      </c>
      <c r="N122" s="2">
        <v>4</v>
      </c>
      <c r="O122" s="64" t="s">
        <v>159</v>
      </c>
      <c r="P122" s="65">
        <v>46197</v>
      </c>
      <c r="Q122" s="65">
        <v>46204</v>
      </c>
      <c r="R122" s="65">
        <v>46218</v>
      </c>
      <c r="S122" s="65">
        <v>46224</v>
      </c>
      <c r="T122" s="136"/>
      <c r="U122" s="136"/>
    </row>
    <row r="123" spans="1:21" ht="18.75" x14ac:dyDescent="0.3">
      <c r="A123" s="12" t="s">
        <v>183</v>
      </c>
      <c r="B123" s="27" t="s">
        <v>19</v>
      </c>
      <c r="C123" s="2">
        <v>14558068434</v>
      </c>
      <c r="D123" s="2">
        <v>82929702</v>
      </c>
      <c r="E123" s="2" t="s">
        <v>20</v>
      </c>
      <c r="F123" s="2" t="s">
        <v>21</v>
      </c>
      <c r="G123" s="2" t="s">
        <v>22</v>
      </c>
      <c r="H123" s="7" t="s">
        <v>23</v>
      </c>
      <c r="I123" s="40" t="s">
        <v>182</v>
      </c>
      <c r="J123" s="9">
        <v>0</v>
      </c>
      <c r="K123" s="4">
        <v>46218</v>
      </c>
      <c r="L123" s="11" t="b">
        <v>1</v>
      </c>
      <c r="M123" s="2" t="s">
        <v>1222</v>
      </c>
      <c r="N123" s="2">
        <v>1</v>
      </c>
      <c r="O123" s="64" t="s">
        <v>184</v>
      </c>
      <c r="P123" s="65">
        <v>46259</v>
      </c>
      <c r="Q123" s="65">
        <v>46266</v>
      </c>
      <c r="R123" s="65">
        <v>46280</v>
      </c>
      <c r="S123" s="65">
        <v>46286</v>
      </c>
      <c r="T123" s="136"/>
      <c r="U123" s="136"/>
    </row>
    <row r="124" spans="1:21" ht="18.75" x14ac:dyDescent="0.3">
      <c r="A124" s="12" t="s">
        <v>185</v>
      </c>
      <c r="B124" s="29" t="s">
        <v>27</v>
      </c>
      <c r="C124" s="2">
        <v>14558068798</v>
      </c>
      <c r="D124" s="2">
        <v>82929702</v>
      </c>
      <c r="E124" s="2" t="s">
        <v>20</v>
      </c>
      <c r="F124" s="2" t="s">
        <v>21</v>
      </c>
      <c r="G124" s="2" t="s">
        <v>22</v>
      </c>
      <c r="H124" s="2" t="s">
        <v>30</v>
      </c>
      <c r="I124" s="40" t="s">
        <v>182</v>
      </c>
      <c r="J124" s="9">
        <v>0</v>
      </c>
      <c r="K124" s="4">
        <v>46218</v>
      </c>
      <c r="L124" s="11" t="b">
        <v>0</v>
      </c>
      <c r="M124" s="2" t="s">
        <v>1222</v>
      </c>
      <c r="N124" s="7">
        <v>3</v>
      </c>
      <c r="O124" s="64" t="s">
        <v>159</v>
      </c>
      <c r="P124" s="65">
        <v>46197</v>
      </c>
      <c r="Q124" s="65">
        <v>46204</v>
      </c>
      <c r="R124" s="65">
        <v>46218</v>
      </c>
      <c r="S124" s="65">
        <v>46224</v>
      </c>
      <c r="T124" s="136"/>
      <c r="U124" s="136"/>
    </row>
    <row r="125" spans="1:21" ht="18.75" x14ac:dyDescent="0.3">
      <c r="A125" s="12" t="s">
        <v>186</v>
      </c>
      <c r="B125" s="27" t="s">
        <v>19</v>
      </c>
      <c r="C125" s="2">
        <v>14558069002</v>
      </c>
      <c r="D125" s="2">
        <v>82929702</v>
      </c>
      <c r="E125" s="2" t="s">
        <v>20</v>
      </c>
      <c r="F125" s="2" t="s">
        <v>21</v>
      </c>
      <c r="G125" s="2" t="s">
        <v>22</v>
      </c>
      <c r="H125" s="7" t="s">
        <v>23</v>
      </c>
      <c r="I125" s="40" t="s">
        <v>182</v>
      </c>
      <c r="J125" s="9">
        <v>0</v>
      </c>
      <c r="K125" s="4">
        <v>46218</v>
      </c>
      <c r="L125" s="11" t="b">
        <v>1</v>
      </c>
      <c r="M125" s="2" t="s">
        <v>1222</v>
      </c>
      <c r="N125" s="2">
        <v>2</v>
      </c>
      <c r="O125" s="64" t="s">
        <v>184</v>
      </c>
      <c r="P125" s="65">
        <v>46259</v>
      </c>
      <c r="Q125" s="65">
        <v>46266</v>
      </c>
      <c r="R125" s="65">
        <v>46280</v>
      </c>
      <c r="S125" s="65">
        <v>46286</v>
      </c>
      <c r="T125" s="136"/>
      <c r="U125" s="136"/>
    </row>
    <row r="126" spans="1:21" ht="18.75" x14ac:dyDescent="0.3">
      <c r="A126" s="12" t="s">
        <v>187</v>
      </c>
      <c r="B126" s="29" t="s">
        <v>27</v>
      </c>
      <c r="C126" s="2">
        <v>14558068921</v>
      </c>
      <c r="D126" s="2">
        <v>82929702</v>
      </c>
      <c r="E126" s="2" t="s">
        <v>20</v>
      </c>
      <c r="F126" s="2" t="s">
        <v>21</v>
      </c>
      <c r="G126" s="2" t="s">
        <v>22</v>
      </c>
      <c r="H126" s="8" t="s">
        <v>33</v>
      </c>
      <c r="I126" s="40" t="s">
        <v>182</v>
      </c>
      <c r="J126" s="9">
        <v>0</v>
      </c>
      <c r="K126" s="4">
        <v>46218</v>
      </c>
      <c r="L126" s="11" t="b">
        <v>0</v>
      </c>
      <c r="M126" s="2" t="s">
        <v>1222</v>
      </c>
      <c r="N126" s="7">
        <v>5</v>
      </c>
      <c r="O126" s="64" t="s">
        <v>159</v>
      </c>
      <c r="P126" s="65">
        <v>46197</v>
      </c>
      <c r="Q126" s="65">
        <v>46204</v>
      </c>
      <c r="R126" s="65">
        <v>46218</v>
      </c>
      <c r="S126" s="65">
        <v>46224</v>
      </c>
      <c r="T126" s="136"/>
      <c r="U126" s="136"/>
    </row>
    <row r="127" spans="1:21" ht="18.75" x14ac:dyDescent="0.3">
      <c r="A127" s="12" t="s">
        <v>188</v>
      </c>
      <c r="B127" s="27" t="s">
        <v>19</v>
      </c>
      <c r="C127" s="2">
        <v>14558069374</v>
      </c>
      <c r="D127" s="2">
        <v>82929702</v>
      </c>
      <c r="E127" s="2" t="s">
        <v>20</v>
      </c>
      <c r="F127" s="2" t="s">
        <v>21</v>
      </c>
      <c r="G127" s="2" t="s">
        <v>22</v>
      </c>
      <c r="H127" s="8" t="s">
        <v>33</v>
      </c>
      <c r="I127" s="40" t="s">
        <v>182</v>
      </c>
      <c r="J127" s="9">
        <v>0</v>
      </c>
      <c r="K127" s="4">
        <v>46218</v>
      </c>
      <c r="L127" s="11" t="b">
        <v>0</v>
      </c>
      <c r="M127" s="2" t="s">
        <v>1222</v>
      </c>
      <c r="N127" s="7">
        <v>6</v>
      </c>
      <c r="O127" s="64" t="s">
        <v>184</v>
      </c>
      <c r="P127" s="65">
        <v>46259</v>
      </c>
      <c r="Q127" s="65">
        <v>46266</v>
      </c>
      <c r="R127" s="65">
        <v>46280</v>
      </c>
      <c r="S127" s="65">
        <v>46286</v>
      </c>
      <c r="T127" s="136"/>
      <c r="U127" s="136"/>
    </row>
    <row r="128" spans="1:21" ht="18.75" x14ac:dyDescent="0.3">
      <c r="A128" s="12" t="s">
        <v>189</v>
      </c>
      <c r="B128" s="27" t="s">
        <v>19</v>
      </c>
      <c r="C128" s="2">
        <v>14558069895</v>
      </c>
      <c r="D128" s="2">
        <v>82929684</v>
      </c>
      <c r="E128" s="2" t="s">
        <v>20</v>
      </c>
      <c r="F128" s="2" t="s">
        <v>21</v>
      </c>
      <c r="G128" s="2" t="s">
        <v>22</v>
      </c>
      <c r="H128" s="2" t="s">
        <v>30</v>
      </c>
      <c r="I128" s="25" t="s">
        <v>190</v>
      </c>
      <c r="J128" s="9">
        <v>0</v>
      </c>
      <c r="K128" s="4">
        <v>46206</v>
      </c>
      <c r="L128" s="11" t="b">
        <v>1</v>
      </c>
      <c r="M128" s="2" t="s">
        <v>1285</v>
      </c>
      <c r="N128" s="2">
        <v>6</v>
      </c>
      <c r="O128" s="64" t="s">
        <v>25</v>
      </c>
      <c r="P128" s="65">
        <v>46179</v>
      </c>
      <c r="Q128" s="65">
        <v>46186</v>
      </c>
      <c r="R128" s="65">
        <v>46202</v>
      </c>
      <c r="S128" s="65">
        <v>46207</v>
      </c>
      <c r="T128" s="136"/>
      <c r="U128" s="136"/>
    </row>
    <row r="129" spans="1:21" ht="18.75" x14ac:dyDescent="0.3">
      <c r="A129" s="12" t="s">
        <v>191</v>
      </c>
      <c r="B129" s="29" t="s">
        <v>27</v>
      </c>
      <c r="C129" s="2">
        <v>14558069192</v>
      </c>
      <c r="D129" s="2">
        <v>82929684</v>
      </c>
      <c r="E129" s="2" t="s">
        <v>20</v>
      </c>
      <c r="F129" s="2" t="s">
        <v>21</v>
      </c>
      <c r="G129" s="2" t="s">
        <v>22</v>
      </c>
      <c r="H129" s="7" t="s">
        <v>23</v>
      </c>
      <c r="I129" s="25" t="s">
        <v>190</v>
      </c>
      <c r="J129" s="9">
        <v>0</v>
      </c>
      <c r="K129" s="4">
        <v>46206</v>
      </c>
      <c r="L129" s="11" t="b">
        <v>1</v>
      </c>
      <c r="M129" s="2" t="s">
        <v>1285</v>
      </c>
      <c r="N129" s="2">
        <v>4</v>
      </c>
      <c r="O129" s="64" t="s">
        <v>28</v>
      </c>
      <c r="P129" s="65">
        <v>46167</v>
      </c>
      <c r="Q129" s="65">
        <v>46174</v>
      </c>
      <c r="R129" s="65">
        <v>46188</v>
      </c>
      <c r="S129" s="65">
        <v>46195</v>
      </c>
      <c r="T129" s="136"/>
      <c r="U129" s="136"/>
    </row>
    <row r="130" spans="1:21" ht="18.75" x14ac:dyDescent="0.3">
      <c r="A130" s="12" t="s">
        <v>192</v>
      </c>
      <c r="B130" s="27" t="s">
        <v>19</v>
      </c>
      <c r="C130" s="2">
        <v>14558068269</v>
      </c>
      <c r="D130" s="2">
        <v>82929684</v>
      </c>
      <c r="E130" s="2" t="s">
        <v>20</v>
      </c>
      <c r="F130" s="2" t="s">
        <v>21</v>
      </c>
      <c r="G130" s="2" t="s">
        <v>22</v>
      </c>
      <c r="H130" s="7" t="s">
        <v>23</v>
      </c>
      <c r="I130" s="25" t="s">
        <v>190</v>
      </c>
      <c r="J130" s="9">
        <v>0</v>
      </c>
      <c r="K130" s="4">
        <v>46206</v>
      </c>
      <c r="L130" s="11" t="b">
        <v>1</v>
      </c>
      <c r="M130" s="2" t="s">
        <v>1285</v>
      </c>
      <c r="N130" s="2">
        <v>7</v>
      </c>
      <c r="O130" s="64" t="s">
        <v>25</v>
      </c>
      <c r="P130" s="65">
        <v>46179</v>
      </c>
      <c r="Q130" s="65">
        <v>46186</v>
      </c>
      <c r="R130" s="65">
        <v>46202</v>
      </c>
      <c r="S130" s="65">
        <v>46207</v>
      </c>
      <c r="T130" s="136"/>
      <c r="U130" s="136"/>
    </row>
    <row r="131" spans="1:21" ht="18.75" x14ac:dyDescent="0.3">
      <c r="A131" s="12" t="s">
        <v>193</v>
      </c>
      <c r="B131" s="29" t="s">
        <v>27</v>
      </c>
      <c r="C131" s="2">
        <v>14558068426</v>
      </c>
      <c r="D131" s="2">
        <v>82929684</v>
      </c>
      <c r="E131" s="2" t="s">
        <v>20</v>
      </c>
      <c r="F131" s="2" t="s">
        <v>21</v>
      </c>
      <c r="G131" s="2" t="s">
        <v>22</v>
      </c>
      <c r="H131" s="2" t="s">
        <v>30</v>
      </c>
      <c r="I131" s="25" t="s">
        <v>190</v>
      </c>
      <c r="J131" s="9">
        <v>0</v>
      </c>
      <c r="K131" s="4">
        <v>46206</v>
      </c>
      <c r="L131" s="11" t="b">
        <v>1</v>
      </c>
      <c r="M131" s="2" t="s">
        <v>1285</v>
      </c>
      <c r="N131" s="2">
        <v>3</v>
      </c>
      <c r="O131" s="64" t="s">
        <v>28</v>
      </c>
      <c r="P131" s="65">
        <v>46167</v>
      </c>
      <c r="Q131" s="65">
        <v>46174</v>
      </c>
      <c r="R131" s="65">
        <v>46188</v>
      </c>
      <c r="S131" s="65">
        <v>46195</v>
      </c>
      <c r="T131" s="136"/>
      <c r="U131" s="136"/>
    </row>
    <row r="132" spans="1:21" ht="18.75" x14ac:dyDescent="0.3">
      <c r="A132" s="12" t="s">
        <v>194</v>
      </c>
      <c r="B132" s="27" t="s">
        <v>19</v>
      </c>
      <c r="C132" s="2">
        <v>14558069358</v>
      </c>
      <c r="D132" s="2">
        <v>82929684</v>
      </c>
      <c r="E132" s="2" t="s">
        <v>20</v>
      </c>
      <c r="F132" s="2" t="s">
        <v>21</v>
      </c>
      <c r="G132" s="2" t="s">
        <v>22</v>
      </c>
      <c r="H132" s="8" t="s">
        <v>33</v>
      </c>
      <c r="I132" s="25" t="s">
        <v>190</v>
      </c>
      <c r="J132" s="9">
        <v>0</v>
      </c>
      <c r="K132" s="4">
        <v>46206</v>
      </c>
      <c r="L132" s="11" t="b">
        <v>1</v>
      </c>
      <c r="M132" s="2" t="s">
        <v>1285</v>
      </c>
      <c r="N132" s="2">
        <v>5</v>
      </c>
      <c r="O132" s="64" t="s">
        <v>25</v>
      </c>
      <c r="P132" s="65">
        <v>46179</v>
      </c>
      <c r="Q132" s="65">
        <v>46186</v>
      </c>
      <c r="R132" s="65">
        <v>46202</v>
      </c>
      <c r="S132" s="65">
        <v>46207</v>
      </c>
      <c r="T132" s="136"/>
      <c r="U132" s="136"/>
    </row>
    <row r="133" spans="1:21" ht="18.75" x14ac:dyDescent="0.3">
      <c r="A133" s="12" t="s">
        <v>195</v>
      </c>
      <c r="B133" s="29" t="s">
        <v>27</v>
      </c>
      <c r="C133" s="2">
        <v>14558068327</v>
      </c>
      <c r="D133" s="2">
        <v>82929684</v>
      </c>
      <c r="E133" s="2" t="s">
        <v>20</v>
      </c>
      <c r="F133" s="2" t="s">
        <v>21</v>
      </c>
      <c r="G133" s="2" t="s">
        <v>22</v>
      </c>
      <c r="H133" s="8" t="s">
        <v>33</v>
      </c>
      <c r="I133" s="25" t="s">
        <v>190</v>
      </c>
      <c r="J133" s="9">
        <v>0</v>
      </c>
      <c r="K133" s="4">
        <v>46206</v>
      </c>
      <c r="L133" s="11" t="b">
        <v>1</v>
      </c>
      <c r="M133" s="2" t="s">
        <v>1285</v>
      </c>
      <c r="N133" s="2">
        <v>2</v>
      </c>
      <c r="O133" s="64" t="s">
        <v>28</v>
      </c>
      <c r="P133" s="65">
        <v>46167</v>
      </c>
      <c r="Q133" s="65">
        <v>46174</v>
      </c>
      <c r="R133" s="65">
        <v>46188</v>
      </c>
      <c r="S133" s="65">
        <v>46195</v>
      </c>
      <c r="T133" s="136"/>
      <c r="U133" s="136"/>
    </row>
    <row r="134" spans="1:21" ht="18.75" x14ac:dyDescent="0.3">
      <c r="A134" s="12" t="s">
        <v>196</v>
      </c>
      <c r="B134" s="29" t="s">
        <v>27</v>
      </c>
      <c r="C134" s="2">
        <v>14558069531</v>
      </c>
      <c r="D134" s="2">
        <v>82929684</v>
      </c>
      <c r="E134" s="2" t="s">
        <v>20</v>
      </c>
      <c r="F134" s="2" t="s">
        <v>21</v>
      </c>
      <c r="G134" s="2" t="s">
        <v>22</v>
      </c>
      <c r="H134" s="7" t="s">
        <v>23</v>
      </c>
      <c r="I134" s="25" t="s">
        <v>190</v>
      </c>
      <c r="J134" s="9">
        <v>0</v>
      </c>
      <c r="K134" s="4">
        <v>46206</v>
      </c>
      <c r="L134" s="11" t="b">
        <v>1</v>
      </c>
      <c r="M134" s="2" t="s">
        <v>1285</v>
      </c>
      <c r="N134" s="2">
        <v>1</v>
      </c>
      <c r="O134" s="64" t="s">
        <v>28</v>
      </c>
      <c r="P134" s="65">
        <v>46167</v>
      </c>
      <c r="Q134" s="65">
        <v>46174</v>
      </c>
      <c r="R134" s="65">
        <v>46188</v>
      </c>
      <c r="S134" s="65">
        <v>46195</v>
      </c>
      <c r="T134" s="136"/>
      <c r="U134" s="136"/>
    </row>
    <row r="135" spans="1:21" ht="18.75" x14ac:dyDescent="0.3">
      <c r="A135" s="12" t="s">
        <v>197</v>
      </c>
      <c r="B135" s="28" t="s">
        <v>174</v>
      </c>
      <c r="C135" s="2">
        <v>14558068186</v>
      </c>
      <c r="D135" s="2">
        <v>71205556</v>
      </c>
      <c r="E135" s="2" t="s">
        <v>20</v>
      </c>
      <c r="F135" s="2" t="s">
        <v>21</v>
      </c>
      <c r="G135" s="2" t="s">
        <v>22</v>
      </c>
      <c r="H135" s="2" t="s">
        <v>30</v>
      </c>
      <c r="I135" s="18" t="s">
        <v>198</v>
      </c>
      <c r="J135" s="2">
        <v>0.04</v>
      </c>
      <c r="K135" s="4">
        <v>46195</v>
      </c>
      <c r="L135" s="11" t="b">
        <v>1</v>
      </c>
      <c r="M135" s="2" t="s">
        <v>1223</v>
      </c>
      <c r="N135" s="2">
        <v>5</v>
      </c>
      <c r="O135" s="64" t="s">
        <v>98</v>
      </c>
      <c r="P135" s="65">
        <v>46140</v>
      </c>
      <c r="Q135" s="65">
        <v>46148</v>
      </c>
      <c r="R135" s="65">
        <v>46162</v>
      </c>
      <c r="S135" s="65">
        <v>46168</v>
      </c>
      <c r="T135" s="139">
        <v>46204.919444444444</v>
      </c>
      <c r="U135" s="136">
        <v>76.2</v>
      </c>
    </row>
    <row r="136" spans="1:21" ht="18.75" x14ac:dyDescent="0.3">
      <c r="A136" s="12" t="s">
        <v>199</v>
      </c>
      <c r="B136" s="24" t="s">
        <v>79</v>
      </c>
      <c r="C136" s="2">
        <v>14558069796</v>
      </c>
      <c r="D136" s="2">
        <v>71205556</v>
      </c>
      <c r="E136" s="2" t="s">
        <v>20</v>
      </c>
      <c r="F136" s="2" t="s">
        <v>21</v>
      </c>
      <c r="G136" s="2" t="s">
        <v>22</v>
      </c>
      <c r="H136" s="2" t="s">
        <v>30</v>
      </c>
      <c r="I136" s="18" t="s">
        <v>198</v>
      </c>
      <c r="J136" s="2">
        <v>0.01</v>
      </c>
      <c r="K136" s="4">
        <v>46195</v>
      </c>
      <c r="L136" s="11" t="b">
        <v>1</v>
      </c>
      <c r="M136" s="2" t="s">
        <v>1223</v>
      </c>
      <c r="N136" s="2">
        <v>2</v>
      </c>
      <c r="O136" s="64" t="s">
        <v>143</v>
      </c>
      <c r="P136" s="65">
        <v>46134</v>
      </c>
      <c r="Q136" s="65">
        <v>46142</v>
      </c>
      <c r="R136" s="65">
        <v>46157</v>
      </c>
      <c r="S136" s="65">
        <v>46163</v>
      </c>
      <c r="T136" s="137">
        <v>46204.657638888886</v>
      </c>
      <c r="U136" s="138">
        <v>31.8</v>
      </c>
    </row>
    <row r="137" spans="1:21" ht="18.75" x14ac:dyDescent="0.3">
      <c r="A137" s="12" t="s">
        <v>200</v>
      </c>
      <c r="B137" s="28" t="s">
        <v>174</v>
      </c>
      <c r="C137" s="2">
        <v>14558068319</v>
      </c>
      <c r="D137" s="2">
        <v>71205556</v>
      </c>
      <c r="E137" s="2" t="s">
        <v>20</v>
      </c>
      <c r="F137" s="2" t="s">
        <v>21</v>
      </c>
      <c r="G137" s="2" t="s">
        <v>22</v>
      </c>
      <c r="H137" s="7" t="s">
        <v>23</v>
      </c>
      <c r="I137" s="18" t="s">
        <v>198</v>
      </c>
      <c r="J137" s="2">
        <v>1.56</v>
      </c>
      <c r="K137" s="4">
        <v>46195</v>
      </c>
      <c r="L137" s="11" t="b">
        <v>1</v>
      </c>
      <c r="M137" s="2" t="s">
        <v>1223</v>
      </c>
      <c r="N137" s="2">
        <v>4</v>
      </c>
      <c r="O137" s="64" t="s">
        <v>98</v>
      </c>
      <c r="P137" s="65">
        <v>46140</v>
      </c>
      <c r="Q137" s="65">
        <v>46148</v>
      </c>
      <c r="R137" s="65">
        <v>46162</v>
      </c>
      <c r="S137" s="65">
        <v>46168</v>
      </c>
      <c r="T137" s="139">
        <v>46204.919444444444</v>
      </c>
      <c r="U137" s="136">
        <v>100.4</v>
      </c>
    </row>
    <row r="138" spans="1:21" ht="18.75" x14ac:dyDescent="0.3">
      <c r="A138" s="12" t="s">
        <v>201</v>
      </c>
      <c r="B138" s="24" t="s">
        <v>79</v>
      </c>
      <c r="C138" s="2">
        <v>14558069945</v>
      </c>
      <c r="D138" s="2">
        <v>71205556</v>
      </c>
      <c r="E138" s="2" t="s">
        <v>20</v>
      </c>
      <c r="F138" s="2" t="s">
        <v>21</v>
      </c>
      <c r="G138" s="2" t="s">
        <v>22</v>
      </c>
      <c r="H138" s="7" t="s">
        <v>23</v>
      </c>
      <c r="I138" s="18" t="s">
        <v>198</v>
      </c>
      <c r="J138" s="2">
        <v>0</v>
      </c>
      <c r="K138" s="4">
        <v>46195</v>
      </c>
      <c r="L138" s="11" t="b">
        <v>1</v>
      </c>
      <c r="M138" s="2" t="s">
        <v>1223</v>
      </c>
      <c r="N138" s="2">
        <v>1</v>
      </c>
      <c r="O138" s="64" t="s">
        <v>143</v>
      </c>
      <c r="P138" s="65">
        <v>46134</v>
      </c>
      <c r="Q138" s="65">
        <v>46142</v>
      </c>
      <c r="R138" s="65">
        <v>46157</v>
      </c>
      <c r="S138" s="65">
        <v>46163</v>
      </c>
      <c r="T138" s="137">
        <v>46204.919444444444</v>
      </c>
      <c r="U138" s="138">
        <v>73</v>
      </c>
    </row>
    <row r="139" spans="1:21" ht="18.75" x14ac:dyDescent="0.3">
      <c r="A139" s="12" t="s">
        <v>202</v>
      </c>
      <c r="B139" s="28" t="s">
        <v>174</v>
      </c>
      <c r="C139" s="2">
        <v>14558069952</v>
      </c>
      <c r="D139" s="2">
        <v>71205556</v>
      </c>
      <c r="E139" s="2" t="s">
        <v>20</v>
      </c>
      <c r="F139" s="2" t="s">
        <v>21</v>
      </c>
      <c r="G139" s="2" t="s">
        <v>22</v>
      </c>
      <c r="H139" s="8" t="s">
        <v>33</v>
      </c>
      <c r="I139" s="18" t="s">
        <v>198</v>
      </c>
      <c r="J139" s="2">
        <v>0.01</v>
      </c>
      <c r="K139" s="4">
        <v>46195</v>
      </c>
      <c r="L139" s="11" t="b">
        <v>1</v>
      </c>
      <c r="M139" s="2" t="s">
        <v>1223</v>
      </c>
      <c r="N139" s="2">
        <v>3</v>
      </c>
      <c r="O139" s="64" t="s">
        <v>98</v>
      </c>
      <c r="P139" s="65">
        <v>46140</v>
      </c>
      <c r="Q139" s="65">
        <v>46148</v>
      </c>
      <c r="R139" s="65">
        <v>46162</v>
      </c>
      <c r="S139" s="65">
        <v>46168</v>
      </c>
      <c r="T139" s="139">
        <v>46204.919444444444</v>
      </c>
      <c r="U139" s="136">
        <v>55.5</v>
      </c>
    </row>
    <row r="140" spans="1:21" ht="18.75" x14ac:dyDescent="0.3">
      <c r="A140" s="12" t="s">
        <v>203</v>
      </c>
      <c r="B140" s="29" t="s">
        <v>27</v>
      </c>
      <c r="C140" s="2">
        <v>14558066313</v>
      </c>
      <c r="D140" s="2">
        <v>82929702</v>
      </c>
      <c r="E140" s="2" t="s">
        <v>20</v>
      </c>
      <c r="F140" s="2" t="s">
        <v>21</v>
      </c>
      <c r="G140" s="2" t="s">
        <v>22</v>
      </c>
      <c r="H140" s="2" t="s">
        <v>30</v>
      </c>
      <c r="I140" s="41" t="s">
        <v>204</v>
      </c>
      <c r="J140" s="9">
        <v>0</v>
      </c>
      <c r="K140" s="4">
        <v>46218</v>
      </c>
      <c r="L140" s="11" t="b">
        <v>0</v>
      </c>
      <c r="M140" s="2" t="s">
        <v>1224</v>
      </c>
      <c r="N140" s="7">
        <v>5</v>
      </c>
      <c r="O140" s="64" t="s">
        <v>159</v>
      </c>
      <c r="P140" s="65">
        <v>46197</v>
      </c>
      <c r="Q140" s="65">
        <v>46204</v>
      </c>
      <c r="R140" s="65">
        <v>46218</v>
      </c>
      <c r="S140" s="65">
        <v>46224</v>
      </c>
      <c r="T140" s="136"/>
      <c r="U140" s="136"/>
    </row>
    <row r="141" spans="1:21" ht="18.75" x14ac:dyDescent="0.3">
      <c r="A141" s="12" t="s">
        <v>205</v>
      </c>
      <c r="B141" s="27" t="s">
        <v>19</v>
      </c>
      <c r="C141" s="2">
        <v>14558069382</v>
      </c>
      <c r="D141" s="2">
        <v>82929702</v>
      </c>
      <c r="E141" s="2" t="s">
        <v>20</v>
      </c>
      <c r="F141" s="2" t="s">
        <v>21</v>
      </c>
      <c r="G141" s="2" t="s">
        <v>22</v>
      </c>
      <c r="H141" s="8" t="s">
        <v>33</v>
      </c>
      <c r="I141" s="41" t="s">
        <v>204</v>
      </c>
      <c r="J141" s="9">
        <v>0</v>
      </c>
      <c r="K141" s="4">
        <v>46218</v>
      </c>
      <c r="L141" s="11" t="b">
        <v>0</v>
      </c>
      <c r="M141" s="2" t="s">
        <v>1224</v>
      </c>
      <c r="N141" s="7">
        <v>7</v>
      </c>
      <c r="O141" s="64" t="s">
        <v>184</v>
      </c>
      <c r="P141" s="65">
        <v>46259</v>
      </c>
      <c r="Q141" s="65">
        <v>46266</v>
      </c>
      <c r="R141" s="65">
        <v>46280</v>
      </c>
      <c r="S141" s="65">
        <v>46286</v>
      </c>
      <c r="T141" s="136"/>
      <c r="U141" s="136"/>
    </row>
    <row r="142" spans="1:21" ht="18.75" x14ac:dyDescent="0.3">
      <c r="A142" s="12" t="s">
        <v>206</v>
      </c>
      <c r="B142" s="29" t="s">
        <v>27</v>
      </c>
      <c r="C142" s="2">
        <v>14558069424</v>
      </c>
      <c r="D142" s="2">
        <v>82929702</v>
      </c>
      <c r="E142" s="2" t="s">
        <v>20</v>
      </c>
      <c r="F142" s="2" t="s">
        <v>21</v>
      </c>
      <c r="G142" s="2" t="s">
        <v>22</v>
      </c>
      <c r="H142" s="8" t="s">
        <v>33</v>
      </c>
      <c r="I142" s="41" t="s">
        <v>204</v>
      </c>
      <c r="J142" s="9">
        <v>0</v>
      </c>
      <c r="K142" s="4">
        <v>46218</v>
      </c>
      <c r="L142" s="11" t="b">
        <v>0</v>
      </c>
      <c r="M142" s="2" t="s">
        <v>1224</v>
      </c>
      <c r="N142" s="7">
        <v>9</v>
      </c>
      <c r="O142" s="64" t="s">
        <v>159</v>
      </c>
      <c r="P142" s="65">
        <v>46197</v>
      </c>
      <c r="Q142" s="65">
        <v>46204</v>
      </c>
      <c r="R142" s="65">
        <v>46218</v>
      </c>
      <c r="S142" s="65">
        <v>46224</v>
      </c>
      <c r="T142" s="136"/>
      <c r="U142" s="136"/>
    </row>
    <row r="143" spans="1:21" ht="18.75" x14ac:dyDescent="0.3">
      <c r="A143" s="12" t="s">
        <v>207</v>
      </c>
      <c r="B143" s="27" t="s">
        <v>19</v>
      </c>
      <c r="C143" s="2">
        <v>14558069606</v>
      </c>
      <c r="D143" s="2">
        <v>82929702</v>
      </c>
      <c r="E143" s="2" t="s">
        <v>20</v>
      </c>
      <c r="F143" s="2" t="s">
        <v>21</v>
      </c>
      <c r="G143" s="2" t="s">
        <v>22</v>
      </c>
      <c r="H143" s="7" t="s">
        <v>23</v>
      </c>
      <c r="I143" s="41" t="s">
        <v>204</v>
      </c>
      <c r="J143" s="9">
        <v>0</v>
      </c>
      <c r="K143" s="4">
        <v>46218</v>
      </c>
      <c r="L143" s="11" t="b">
        <v>0</v>
      </c>
      <c r="M143" s="2" t="s">
        <v>1224</v>
      </c>
      <c r="N143" s="7">
        <v>3</v>
      </c>
      <c r="O143" s="64" t="s">
        <v>184</v>
      </c>
      <c r="P143" s="65">
        <v>46259</v>
      </c>
      <c r="Q143" s="65">
        <v>46266</v>
      </c>
      <c r="R143" s="65">
        <v>46280</v>
      </c>
      <c r="S143" s="65">
        <v>46286</v>
      </c>
      <c r="T143" s="136"/>
      <c r="U143" s="136"/>
    </row>
    <row r="144" spans="1:21" ht="18.75" x14ac:dyDescent="0.3">
      <c r="A144" s="12" t="s">
        <v>208</v>
      </c>
      <c r="B144" s="29" t="s">
        <v>27</v>
      </c>
      <c r="C144" s="2">
        <v>14558068947</v>
      </c>
      <c r="D144" s="2">
        <v>82929702</v>
      </c>
      <c r="E144" s="2" t="s">
        <v>20</v>
      </c>
      <c r="F144" s="2" t="s">
        <v>21</v>
      </c>
      <c r="G144" s="2" t="s">
        <v>22</v>
      </c>
      <c r="H144" s="7" t="s">
        <v>23</v>
      </c>
      <c r="I144" s="41" t="s">
        <v>204</v>
      </c>
      <c r="J144" s="9">
        <v>0</v>
      </c>
      <c r="K144" s="4">
        <v>46218</v>
      </c>
      <c r="L144" s="11" t="b">
        <v>0</v>
      </c>
      <c r="M144" s="2" t="s">
        <v>1224</v>
      </c>
      <c r="N144" s="7">
        <v>1</v>
      </c>
      <c r="O144" s="64" t="s">
        <v>159</v>
      </c>
      <c r="P144" s="65">
        <v>46197</v>
      </c>
      <c r="Q144" s="65">
        <v>46204</v>
      </c>
      <c r="R144" s="65">
        <v>46218</v>
      </c>
      <c r="S144" s="65">
        <v>46224</v>
      </c>
      <c r="T144" s="136"/>
      <c r="U144" s="136"/>
    </row>
    <row r="145" spans="1:21" ht="18.75" x14ac:dyDescent="0.3">
      <c r="A145" s="12" t="s">
        <v>209</v>
      </c>
      <c r="B145" s="27" t="s">
        <v>19</v>
      </c>
      <c r="C145" s="2">
        <v>14558069580</v>
      </c>
      <c r="D145" s="2">
        <v>82929702</v>
      </c>
      <c r="E145" s="2" t="s">
        <v>20</v>
      </c>
      <c r="F145" s="2" t="s">
        <v>21</v>
      </c>
      <c r="G145" s="2" t="s">
        <v>22</v>
      </c>
      <c r="H145" s="7" t="s">
        <v>23</v>
      </c>
      <c r="I145" s="41" t="s">
        <v>204</v>
      </c>
      <c r="J145" s="9">
        <v>0</v>
      </c>
      <c r="K145" s="4">
        <v>46218</v>
      </c>
      <c r="L145" s="11" t="b">
        <v>0</v>
      </c>
      <c r="M145" s="2" t="s">
        <v>1224</v>
      </c>
      <c r="N145" s="7">
        <v>2</v>
      </c>
      <c r="O145" s="64" t="s">
        <v>184</v>
      </c>
      <c r="P145" s="65">
        <v>46259</v>
      </c>
      <c r="Q145" s="65">
        <v>46266</v>
      </c>
      <c r="R145" s="65">
        <v>46280</v>
      </c>
      <c r="S145" s="65">
        <v>46286</v>
      </c>
      <c r="T145" s="136"/>
      <c r="U145" s="136"/>
    </row>
    <row r="146" spans="1:21" ht="18.75" x14ac:dyDescent="0.3">
      <c r="A146" s="12" t="s">
        <v>210</v>
      </c>
      <c r="B146" s="29" t="s">
        <v>27</v>
      </c>
      <c r="C146" s="2">
        <v>14558068772</v>
      </c>
      <c r="D146" s="2">
        <v>82929702</v>
      </c>
      <c r="E146" s="2" t="s">
        <v>20</v>
      </c>
      <c r="F146" s="2" t="s">
        <v>21</v>
      </c>
      <c r="G146" s="2" t="s">
        <v>22</v>
      </c>
      <c r="H146" s="8" t="s">
        <v>33</v>
      </c>
      <c r="I146" s="41" t="s">
        <v>204</v>
      </c>
      <c r="J146" s="9">
        <v>0</v>
      </c>
      <c r="K146" s="4">
        <v>46218</v>
      </c>
      <c r="L146" s="11" t="b">
        <v>0</v>
      </c>
      <c r="M146" s="2" t="s">
        <v>1224</v>
      </c>
      <c r="N146" s="7">
        <v>8</v>
      </c>
      <c r="O146" s="64" t="s">
        <v>159</v>
      </c>
      <c r="P146" s="65">
        <v>46197</v>
      </c>
      <c r="Q146" s="65">
        <v>46204</v>
      </c>
      <c r="R146" s="65">
        <v>46218</v>
      </c>
      <c r="S146" s="65">
        <v>46224</v>
      </c>
      <c r="T146" s="136"/>
      <c r="U146" s="136"/>
    </row>
    <row r="147" spans="1:21" ht="18.75" x14ac:dyDescent="0.3">
      <c r="A147" s="12" t="s">
        <v>211</v>
      </c>
      <c r="B147" s="27" t="s">
        <v>19</v>
      </c>
      <c r="C147" s="2">
        <v>14558069390</v>
      </c>
      <c r="D147" s="2">
        <v>82929702</v>
      </c>
      <c r="E147" s="2" t="s">
        <v>20</v>
      </c>
      <c r="F147" s="2" t="s">
        <v>21</v>
      </c>
      <c r="G147" s="2" t="s">
        <v>22</v>
      </c>
      <c r="H147" s="2" t="s">
        <v>30</v>
      </c>
      <c r="I147" s="41" t="s">
        <v>204</v>
      </c>
      <c r="J147" s="9">
        <v>0</v>
      </c>
      <c r="K147" s="4">
        <v>46218</v>
      </c>
      <c r="L147" s="11" t="b">
        <v>0</v>
      </c>
      <c r="M147" s="2" t="s">
        <v>1224</v>
      </c>
      <c r="N147" s="7">
        <v>4</v>
      </c>
      <c r="O147" s="64" t="s">
        <v>184</v>
      </c>
      <c r="P147" s="65">
        <v>46259</v>
      </c>
      <c r="Q147" s="65">
        <v>46266</v>
      </c>
      <c r="R147" s="65">
        <v>46280</v>
      </c>
      <c r="S147" s="65">
        <v>46286</v>
      </c>
      <c r="T147" s="136"/>
      <c r="U147" s="136"/>
    </row>
    <row r="148" spans="1:21" ht="18.75" x14ac:dyDescent="0.3">
      <c r="A148" s="12" t="s">
        <v>212</v>
      </c>
      <c r="B148" s="27" t="s">
        <v>19</v>
      </c>
      <c r="C148" s="2">
        <v>14558069499</v>
      </c>
      <c r="D148" s="2">
        <v>82929702</v>
      </c>
      <c r="E148" s="2" t="s">
        <v>20</v>
      </c>
      <c r="F148" s="2" t="s">
        <v>21</v>
      </c>
      <c r="G148" s="2" t="s">
        <v>22</v>
      </c>
      <c r="H148" s="2" t="s">
        <v>30</v>
      </c>
      <c r="I148" s="41" t="s">
        <v>204</v>
      </c>
      <c r="J148" s="9">
        <v>0</v>
      </c>
      <c r="K148" s="4">
        <v>46218</v>
      </c>
      <c r="L148" s="11" t="b">
        <v>0</v>
      </c>
      <c r="M148" s="2" t="s">
        <v>1224</v>
      </c>
      <c r="N148" s="7">
        <v>6</v>
      </c>
      <c r="O148" s="64" t="s">
        <v>184</v>
      </c>
      <c r="P148" s="65">
        <v>46259</v>
      </c>
      <c r="Q148" s="65">
        <v>46266</v>
      </c>
      <c r="R148" s="65">
        <v>46280</v>
      </c>
      <c r="S148" s="65">
        <v>46286</v>
      </c>
      <c r="T148" s="136"/>
      <c r="U148" s="136"/>
    </row>
    <row r="149" spans="1:21" ht="18.75" x14ac:dyDescent="0.3">
      <c r="A149" s="12" t="s">
        <v>213</v>
      </c>
      <c r="B149" s="26" t="s">
        <v>65</v>
      </c>
      <c r="C149" s="2">
        <v>14558068889</v>
      </c>
      <c r="D149" s="2">
        <v>82929684</v>
      </c>
      <c r="E149" s="2" t="s">
        <v>20</v>
      </c>
      <c r="F149" s="2" t="s">
        <v>21</v>
      </c>
      <c r="G149" s="2" t="s">
        <v>22</v>
      </c>
      <c r="H149" s="7" t="s">
        <v>23</v>
      </c>
      <c r="I149" s="32" t="s">
        <v>214</v>
      </c>
      <c r="J149" s="9">
        <v>0</v>
      </c>
      <c r="K149" s="4">
        <v>46210</v>
      </c>
      <c r="L149" s="11" t="b">
        <v>1</v>
      </c>
      <c r="M149" s="2" t="s">
        <v>1225</v>
      </c>
      <c r="N149" s="2">
        <v>1</v>
      </c>
      <c r="O149" s="64" t="s">
        <v>67</v>
      </c>
      <c r="P149" s="65">
        <v>46224</v>
      </c>
      <c r="Q149" s="65">
        <v>46231</v>
      </c>
      <c r="R149" s="65">
        <v>46246</v>
      </c>
      <c r="S149" s="65">
        <v>46252</v>
      </c>
      <c r="T149" s="136"/>
      <c r="U149" s="136"/>
    </row>
    <row r="150" spans="1:21" ht="18.75" x14ac:dyDescent="0.3">
      <c r="A150" s="12" t="s">
        <v>215</v>
      </c>
      <c r="B150" s="26" t="s">
        <v>65</v>
      </c>
      <c r="C150" s="2">
        <v>14558068780</v>
      </c>
      <c r="D150" s="2">
        <v>82929684</v>
      </c>
      <c r="E150" s="2" t="s">
        <v>20</v>
      </c>
      <c r="F150" s="2" t="s">
        <v>21</v>
      </c>
      <c r="G150" s="2" t="s">
        <v>22</v>
      </c>
      <c r="H150" s="2" t="s">
        <v>30</v>
      </c>
      <c r="I150" s="32" t="s">
        <v>214</v>
      </c>
      <c r="J150" s="9">
        <v>0</v>
      </c>
      <c r="K150" s="4">
        <v>46210</v>
      </c>
      <c r="L150" s="11" t="b">
        <v>1</v>
      </c>
      <c r="M150" s="2" t="s">
        <v>1225</v>
      </c>
      <c r="N150" s="2">
        <v>2</v>
      </c>
      <c r="O150" s="64" t="s">
        <v>67</v>
      </c>
      <c r="P150" s="65">
        <v>46224</v>
      </c>
      <c r="Q150" s="65">
        <v>46231</v>
      </c>
      <c r="R150" s="65">
        <v>46246</v>
      </c>
      <c r="S150" s="65">
        <v>46252</v>
      </c>
      <c r="T150" s="136"/>
      <c r="U150" s="136"/>
    </row>
    <row r="151" spans="1:21" ht="18.75" x14ac:dyDescent="0.3">
      <c r="A151" s="12" t="s">
        <v>216</v>
      </c>
      <c r="B151" s="26" t="s">
        <v>65</v>
      </c>
      <c r="C151" s="2">
        <v>14558066206</v>
      </c>
      <c r="D151" s="2">
        <v>82929684</v>
      </c>
      <c r="E151" s="2" t="s">
        <v>20</v>
      </c>
      <c r="F151" s="2" t="s">
        <v>21</v>
      </c>
      <c r="G151" s="2" t="s">
        <v>22</v>
      </c>
      <c r="H151" s="8" t="s">
        <v>33</v>
      </c>
      <c r="I151" s="32" t="s">
        <v>214</v>
      </c>
      <c r="J151" s="9">
        <v>0</v>
      </c>
      <c r="K151" s="4">
        <v>46210</v>
      </c>
      <c r="L151" s="11" t="b">
        <v>1</v>
      </c>
      <c r="M151" s="2" t="s">
        <v>1225</v>
      </c>
      <c r="N151" s="2">
        <v>3</v>
      </c>
      <c r="O151" s="64" t="s">
        <v>67</v>
      </c>
      <c r="P151" s="65">
        <v>46224</v>
      </c>
      <c r="Q151" s="65">
        <v>46231</v>
      </c>
      <c r="R151" s="65">
        <v>46246</v>
      </c>
      <c r="S151" s="65">
        <v>46252</v>
      </c>
      <c r="T151" s="136"/>
      <c r="U151" s="136"/>
    </row>
    <row r="152" spans="1:21" ht="18.75" x14ac:dyDescent="0.3">
      <c r="A152" s="12" t="s">
        <v>217</v>
      </c>
      <c r="B152" s="26" t="s">
        <v>65</v>
      </c>
      <c r="C152" s="2">
        <v>14558069143</v>
      </c>
      <c r="D152" s="2">
        <v>82929684</v>
      </c>
      <c r="E152" s="2" t="s">
        <v>20</v>
      </c>
      <c r="F152" s="2" t="s">
        <v>21</v>
      </c>
      <c r="G152" s="2" t="s">
        <v>22</v>
      </c>
      <c r="H152" s="7" t="s">
        <v>23</v>
      </c>
      <c r="I152" s="32" t="s">
        <v>214</v>
      </c>
      <c r="J152" s="9">
        <v>0</v>
      </c>
      <c r="K152" s="4">
        <v>46210</v>
      </c>
      <c r="L152" s="11" t="b">
        <v>1</v>
      </c>
      <c r="M152" s="2" t="s">
        <v>1225</v>
      </c>
      <c r="N152" s="2">
        <v>4</v>
      </c>
      <c r="O152" s="64" t="s">
        <v>67</v>
      </c>
      <c r="P152" s="65">
        <v>46224</v>
      </c>
      <c r="Q152" s="65">
        <v>46231</v>
      </c>
      <c r="R152" s="65">
        <v>46246</v>
      </c>
      <c r="S152" s="65">
        <v>46252</v>
      </c>
      <c r="T152" s="136"/>
      <c r="U152" s="136"/>
    </row>
    <row r="153" spans="1:21" ht="18.75" x14ac:dyDescent="0.3">
      <c r="A153" s="12" t="s">
        <v>218</v>
      </c>
      <c r="B153" s="26" t="s">
        <v>65</v>
      </c>
      <c r="C153" s="2">
        <v>14558069119</v>
      </c>
      <c r="D153" s="2">
        <v>82929684</v>
      </c>
      <c r="E153" s="2" t="s">
        <v>20</v>
      </c>
      <c r="F153" s="2" t="s">
        <v>21</v>
      </c>
      <c r="G153" s="2" t="s">
        <v>22</v>
      </c>
      <c r="H153" s="2" t="s">
        <v>30</v>
      </c>
      <c r="I153" s="32" t="s">
        <v>214</v>
      </c>
      <c r="J153" s="9">
        <v>0</v>
      </c>
      <c r="K153" s="4">
        <v>46210</v>
      </c>
      <c r="L153" s="11" t="b">
        <v>1</v>
      </c>
      <c r="M153" s="2" t="s">
        <v>1225</v>
      </c>
      <c r="N153" s="2">
        <v>5</v>
      </c>
      <c r="O153" s="64" t="s">
        <v>67</v>
      </c>
      <c r="P153" s="65">
        <v>46224</v>
      </c>
      <c r="Q153" s="65">
        <v>46231</v>
      </c>
      <c r="R153" s="65">
        <v>46246</v>
      </c>
      <c r="S153" s="65">
        <v>46252</v>
      </c>
      <c r="T153" s="136"/>
      <c r="U153" s="136"/>
    </row>
    <row r="154" spans="1:21" ht="18.75" x14ac:dyDescent="0.3">
      <c r="A154" s="12" t="s">
        <v>219</v>
      </c>
      <c r="B154" s="26" t="s">
        <v>65</v>
      </c>
      <c r="C154" s="2">
        <v>14558069234</v>
      </c>
      <c r="D154" s="2">
        <v>82929684</v>
      </c>
      <c r="E154" s="2" t="s">
        <v>20</v>
      </c>
      <c r="F154" s="2" t="s">
        <v>21</v>
      </c>
      <c r="G154" s="2" t="s">
        <v>22</v>
      </c>
      <c r="H154" s="8" t="s">
        <v>33</v>
      </c>
      <c r="I154" s="32" t="s">
        <v>214</v>
      </c>
      <c r="J154" s="9">
        <v>0</v>
      </c>
      <c r="K154" s="4">
        <v>46210</v>
      </c>
      <c r="L154" s="11" t="b">
        <v>1</v>
      </c>
      <c r="M154" s="2" t="s">
        <v>1225</v>
      </c>
      <c r="N154" s="2">
        <v>6</v>
      </c>
      <c r="O154" s="64" t="s">
        <v>67</v>
      </c>
      <c r="P154" s="65">
        <v>46224</v>
      </c>
      <c r="Q154" s="65">
        <v>46231</v>
      </c>
      <c r="R154" s="65">
        <v>46246</v>
      </c>
      <c r="S154" s="65">
        <v>46252</v>
      </c>
      <c r="T154" s="136"/>
      <c r="U154" s="136"/>
    </row>
    <row r="155" spans="1:21" ht="18.75" x14ac:dyDescent="0.3">
      <c r="A155" s="12" t="s">
        <v>220</v>
      </c>
      <c r="B155" s="27" t="s">
        <v>19</v>
      </c>
      <c r="C155" s="2">
        <v>14558070034</v>
      </c>
      <c r="D155" s="2">
        <v>82929684</v>
      </c>
      <c r="E155" s="2" t="s">
        <v>20</v>
      </c>
      <c r="F155" s="2" t="s">
        <v>21</v>
      </c>
      <c r="G155" s="2" t="s">
        <v>22</v>
      </c>
      <c r="H155" s="7" t="s">
        <v>23</v>
      </c>
      <c r="I155" s="33" t="s">
        <v>221</v>
      </c>
      <c r="J155" s="9">
        <v>0</v>
      </c>
      <c r="K155" s="4">
        <v>46210</v>
      </c>
      <c r="L155" s="11" t="b">
        <v>1</v>
      </c>
      <c r="M155" s="2" t="s">
        <v>1226</v>
      </c>
      <c r="N155" s="2">
        <v>1</v>
      </c>
      <c r="O155" s="64" t="s">
        <v>222</v>
      </c>
      <c r="P155" s="65">
        <v>46238</v>
      </c>
      <c r="Q155" s="65">
        <v>46246</v>
      </c>
      <c r="R155" s="65">
        <v>46260</v>
      </c>
      <c r="S155" s="65">
        <v>46266</v>
      </c>
      <c r="T155" s="136"/>
      <c r="U155" s="136"/>
    </row>
    <row r="156" spans="1:21" ht="18.75" x14ac:dyDescent="0.3">
      <c r="A156" s="12" t="s">
        <v>223</v>
      </c>
      <c r="B156" s="26" t="s">
        <v>65</v>
      </c>
      <c r="C156" s="2">
        <v>14558069259</v>
      </c>
      <c r="D156" s="2">
        <v>82929684</v>
      </c>
      <c r="E156" s="2" t="s">
        <v>20</v>
      </c>
      <c r="F156" s="2" t="s">
        <v>21</v>
      </c>
      <c r="G156" s="2" t="s">
        <v>22</v>
      </c>
      <c r="H156" s="2" t="s">
        <v>30</v>
      </c>
      <c r="I156" s="33" t="s">
        <v>221</v>
      </c>
      <c r="J156" s="9">
        <v>0</v>
      </c>
      <c r="K156" s="4">
        <v>46210</v>
      </c>
      <c r="L156" s="11" t="b">
        <v>0</v>
      </c>
      <c r="M156" s="2" t="s">
        <v>1226</v>
      </c>
      <c r="N156" s="7">
        <v>2</v>
      </c>
      <c r="O156" s="64" t="s">
        <v>222</v>
      </c>
      <c r="P156" s="65">
        <v>46238</v>
      </c>
      <c r="Q156" s="65">
        <v>46246</v>
      </c>
      <c r="R156" s="65">
        <v>46260</v>
      </c>
      <c r="S156" s="65">
        <v>46266</v>
      </c>
      <c r="T156" s="136"/>
      <c r="U156" s="136"/>
    </row>
    <row r="157" spans="1:21" ht="18.75" x14ac:dyDescent="0.3">
      <c r="A157" s="12" t="s">
        <v>224</v>
      </c>
      <c r="B157" s="26" t="s">
        <v>65</v>
      </c>
      <c r="C157" s="2">
        <v>14558069226</v>
      </c>
      <c r="D157" s="2">
        <v>82929684</v>
      </c>
      <c r="E157" s="2" t="s">
        <v>20</v>
      </c>
      <c r="F157" s="2" t="s">
        <v>21</v>
      </c>
      <c r="G157" s="2" t="s">
        <v>22</v>
      </c>
      <c r="H157" s="8" t="s">
        <v>33</v>
      </c>
      <c r="I157" s="33" t="s">
        <v>221</v>
      </c>
      <c r="J157" s="9">
        <v>0</v>
      </c>
      <c r="K157" s="4">
        <v>46210</v>
      </c>
      <c r="L157" s="11" t="b">
        <v>1</v>
      </c>
      <c r="M157" s="2" t="s">
        <v>1226</v>
      </c>
      <c r="N157" s="2">
        <v>3</v>
      </c>
      <c r="O157" s="64" t="s">
        <v>222</v>
      </c>
      <c r="P157" s="65">
        <v>46238</v>
      </c>
      <c r="Q157" s="65">
        <v>46246</v>
      </c>
      <c r="R157" s="65">
        <v>46260</v>
      </c>
      <c r="S157" s="65">
        <v>46266</v>
      </c>
      <c r="T157" s="136"/>
      <c r="U157" s="136"/>
    </row>
    <row r="158" spans="1:21" ht="18.75" x14ac:dyDescent="0.3">
      <c r="A158" s="12" t="s">
        <v>225</v>
      </c>
      <c r="B158" s="26" t="s">
        <v>65</v>
      </c>
      <c r="C158" s="2">
        <v>14558069903</v>
      </c>
      <c r="D158" s="2">
        <v>82929684</v>
      </c>
      <c r="E158" s="2" t="s">
        <v>20</v>
      </c>
      <c r="F158" s="2" t="s">
        <v>21</v>
      </c>
      <c r="G158" s="2" t="s">
        <v>22</v>
      </c>
      <c r="H158" s="7" t="s">
        <v>23</v>
      </c>
      <c r="I158" s="33" t="s">
        <v>221</v>
      </c>
      <c r="J158" s="9">
        <v>0</v>
      </c>
      <c r="K158" s="4">
        <v>46210</v>
      </c>
      <c r="L158" s="11" t="b">
        <v>0</v>
      </c>
      <c r="M158" s="2" t="s">
        <v>1226</v>
      </c>
      <c r="N158" s="7">
        <v>4</v>
      </c>
      <c r="O158" s="64" t="s">
        <v>222</v>
      </c>
      <c r="P158" s="65">
        <v>46238</v>
      </c>
      <c r="Q158" s="65">
        <v>46246</v>
      </c>
      <c r="R158" s="65">
        <v>46260</v>
      </c>
      <c r="S158" s="65">
        <v>46266</v>
      </c>
      <c r="T158" s="136"/>
      <c r="U158" s="136"/>
    </row>
    <row r="159" spans="1:21" ht="18.75" x14ac:dyDescent="0.3">
      <c r="A159" s="12" t="s">
        <v>226</v>
      </c>
      <c r="B159" s="26" t="s">
        <v>65</v>
      </c>
      <c r="C159" s="2">
        <v>14558069697</v>
      </c>
      <c r="D159" s="2">
        <v>82929684</v>
      </c>
      <c r="E159" s="2" t="s">
        <v>20</v>
      </c>
      <c r="F159" s="2" t="s">
        <v>21</v>
      </c>
      <c r="G159" s="2" t="s">
        <v>22</v>
      </c>
      <c r="H159" s="2" t="s">
        <v>30</v>
      </c>
      <c r="I159" s="33" t="s">
        <v>221</v>
      </c>
      <c r="J159" s="9">
        <v>0</v>
      </c>
      <c r="K159" s="4">
        <v>46210</v>
      </c>
      <c r="L159" s="11" t="b">
        <v>1</v>
      </c>
      <c r="M159" s="2" t="s">
        <v>1226</v>
      </c>
      <c r="N159" s="2">
        <v>5</v>
      </c>
      <c r="O159" s="64" t="s">
        <v>222</v>
      </c>
      <c r="P159" s="65">
        <v>46238</v>
      </c>
      <c r="Q159" s="65">
        <v>46246</v>
      </c>
      <c r="R159" s="65">
        <v>46260</v>
      </c>
      <c r="S159" s="65">
        <v>46266</v>
      </c>
      <c r="T159" s="136"/>
      <c r="U159" s="136"/>
    </row>
    <row r="160" spans="1:21" ht="18.75" x14ac:dyDescent="0.3">
      <c r="A160" s="12" t="s">
        <v>227</v>
      </c>
      <c r="B160" s="26" t="s">
        <v>65</v>
      </c>
      <c r="C160" s="2">
        <v>14558069929</v>
      </c>
      <c r="D160" s="2">
        <v>82929684</v>
      </c>
      <c r="E160" s="2" t="s">
        <v>20</v>
      </c>
      <c r="F160" s="2" t="s">
        <v>21</v>
      </c>
      <c r="G160" s="2" t="s">
        <v>22</v>
      </c>
      <c r="H160" s="8" t="s">
        <v>33</v>
      </c>
      <c r="I160" s="33" t="s">
        <v>221</v>
      </c>
      <c r="J160" s="9">
        <v>0</v>
      </c>
      <c r="K160" s="4">
        <v>46210</v>
      </c>
      <c r="L160" s="11" t="b">
        <v>0</v>
      </c>
      <c r="M160" s="2" t="s">
        <v>1226</v>
      </c>
      <c r="N160" s="7">
        <v>6</v>
      </c>
      <c r="O160" s="64" t="s">
        <v>67</v>
      </c>
      <c r="P160" s="65">
        <v>46224</v>
      </c>
      <c r="Q160" s="65">
        <v>46231</v>
      </c>
      <c r="R160" s="65">
        <v>46246</v>
      </c>
      <c r="S160" s="65">
        <v>46252</v>
      </c>
      <c r="T160" s="136"/>
      <c r="U160" s="136"/>
    </row>
    <row r="161" spans="1:21" ht="18.75" x14ac:dyDescent="0.3">
      <c r="A161" s="12" t="s">
        <v>228</v>
      </c>
      <c r="B161" s="28" t="s">
        <v>174</v>
      </c>
      <c r="C161" s="2">
        <v>14558069937</v>
      </c>
      <c r="D161" s="2">
        <v>71205556</v>
      </c>
      <c r="E161" s="2" t="s">
        <v>20</v>
      </c>
      <c r="F161" s="2" t="s">
        <v>21</v>
      </c>
      <c r="G161" s="2" t="s">
        <v>22</v>
      </c>
      <c r="H161" s="7" t="s">
        <v>23</v>
      </c>
      <c r="I161" s="48" t="s">
        <v>229</v>
      </c>
      <c r="J161" s="9">
        <v>0</v>
      </c>
      <c r="K161" s="4">
        <v>46196</v>
      </c>
      <c r="L161" s="11" t="b">
        <v>1</v>
      </c>
      <c r="M161" s="2" t="s">
        <v>1227</v>
      </c>
      <c r="N161" s="2">
        <v>1</v>
      </c>
      <c r="O161" s="64" t="s">
        <v>230</v>
      </c>
      <c r="P161" s="65">
        <v>46155</v>
      </c>
      <c r="Q161" s="65">
        <v>46162</v>
      </c>
      <c r="R161" s="65">
        <v>46176</v>
      </c>
      <c r="S161" s="65">
        <v>46182</v>
      </c>
      <c r="T161" s="139">
        <v>46234</v>
      </c>
      <c r="U161" s="136" t="s">
        <v>1193</v>
      </c>
    </row>
    <row r="162" spans="1:21" ht="18.75" x14ac:dyDescent="0.3">
      <c r="A162" s="12" t="s">
        <v>231</v>
      </c>
      <c r="B162" s="28" t="s">
        <v>174</v>
      </c>
      <c r="C162" s="2">
        <v>14558070059</v>
      </c>
      <c r="D162" s="2">
        <v>71205556</v>
      </c>
      <c r="E162" s="2" t="s">
        <v>20</v>
      </c>
      <c r="F162" s="2" t="s">
        <v>21</v>
      </c>
      <c r="G162" s="2" t="s">
        <v>22</v>
      </c>
      <c r="H162" s="2" t="s">
        <v>30</v>
      </c>
      <c r="I162" s="48" t="s">
        <v>229</v>
      </c>
      <c r="J162" s="9">
        <v>0</v>
      </c>
      <c r="K162" s="4">
        <v>46196</v>
      </c>
      <c r="L162" s="11" t="b">
        <v>1</v>
      </c>
      <c r="M162" s="2" t="s">
        <v>1227</v>
      </c>
      <c r="N162" s="2">
        <v>2</v>
      </c>
      <c r="O162" s="64" t="s">
        <v>230</v>
      </c>
      <c r="P162" s="65">
        <v>46155</v>
      </c>
      <c r="Q162" s="65">
        <v>46162</v>
      </c>
      <c r="R162" s="65">
        <v>46176</v>
      </c>
      <c r="S162" s="65">
        <v>46182</v>
      </c>
      <c r="T162" s="139">
        <v>46234</v>
      </c>
      <c r="U162" s="136" t="s">
        <v>1193</v>
      </c>
    </row>
    <row r="163" spans="1:21" ht="18.75" x14ac:dyDescent="0.3">
      <c r="A163" s="12" t="s">
        <v>232</v>
      </c>
      <c r="B163" s="28" t="s">
        <v>174</v>
      </c>
      <c r="C163" s="2">
        <v>14558068343</v>
      </c>
      <c r="D163" s="2">
        <v>71205556</v>
      </c>
      <c r="E163" s="2" t="s">
        <v>20</v>
      </c>
      <c r="F163" s="2" t="s">
        <v>21</v>
      </c>
      <c r="G163" s="2" t="s">
        <v>22</v>
      </c>
      <c r="H163" s="8" t="s">
        <v>33</v>
      </c>
      <c r="I163" s="48" t="s">
        <v>229</v>
      </c>
      <c r="J163" s="9">
        <v>0</v>
      </c>
      <c r="K163" s="4">
        <v>46196</v>
      </c>
      <c r="L163" s="11" t="b">
        <v>1</v>
      </c>
      <c r="M163" s="2" t="s">
        <v>1227</v>
      </c>
      <c r="N163" s="2">
        <v>3</v>
      </c>
      <c r="O163" s="64" t="s">
        <v>230</v>
      </c>
      <c r="P163" s="65">
        <v>46155</v>
      </c>
      <c r="Q163" s="65">
        <v>46162</v>
      </c>
      <c r="R163" s="65">
        <v>46176</v>
      </c>
      <c r="S163" s="65">
        <v>46182</v>
      </c>
      <c r="T163" s="139">
        <v>46234</v>
      </c>
      <c r="U163" s="136" t="s">
        <v>1193</v>
      </c>
    </row>
    <row r="164" spans="1:21" ht="18.75" x14ac:dyDescent="0.3">
      <c r="A164" s="12" t="s">
        <v>233</v>
      </c>
      <c r="B164" s="27" t="s">
        <v>19</v>
      </c>
      <c r="C164" s="2">
        <v>14558069275</v>
      </c>
      <c r="D164" s="2">
        <v>82929684</v>
      </c>
      <c r="E164" s="2" t="s">
        <v>20</v>
      </c>
      <c r="F164" s="2" t="s">
        <v>21</v>
      </c>
      <c r="G164" s="2" t="s">
        <v>22</v>
      </c>
      <c r="H164" s="7" t="s">
        <v>23</v>
      </c>
      <c r="I164" s="34" t="s">
        <v>234</v>
      </c>
      <c r="J164" s="9">
        <v>0</v>
      </c>
      <c r="K164" s="4">
        <v>46206</v>
      </c>
      <c r="L164" s="11" t="b">
        <v>0</v>
      </c>
      <c r="M164" s="2" t="s">
        <v>1282</v>
      </c>
      <c r="N164" s="7">
        <v>1</v>
      </c>
      <c r="O164" s="64" t="s">
        <v>235</v>
      </c>
      <c r="P164" s="65">
        <v>46195</v>
      </c>
      <c r="Q164" s="65">
        <v>46202</v>
      </c>
      <c r="R164" s="65">
        <v>46221</v>
      </c>
      <c r="S164" s="65">
        <v>46221</v>
      </c>
      <c r="T164" s="136"/>
      <c r="U164" s="136"/>
    </row>
    <row r="165" spans="1:21" ht="18.75" x14ac:dyDescent="0.3">
      <c r="A165" s="12" t="s">
        <v>236</v>
      </c>
      <c r="B165" s="29" t="s">
        <v>27</v>
      </c>
      <c r="C165" s="2">
        <v>14558069325</v>
      </c>
      <c r="D165" s="2">
        <v>82929684</v>
      </c>
      <c r="E165" s="2" t="s">
        <v>20</v>
      </c>
      <c r="F165" s="2" t="s">
        <v>21</v>
      </c>
      <c r="G165" s="2" t="s">
        <v>22</v>
      </c>
      <c r="H165" s="8" t="s">
        <v>33</v>
      </c>
      <c r="I165" s="34" t="s">
        <v>234</v>
      </c>
      <c r="J165" s="9">
        <v>0</v>
      </c>
      <c r="K165" s="4">
        <v>46206</v>
      </c>
      <c r="L165" s="11" t="b">
        <v>0</v>
      </c>
      <c r="M165" s="2" t="s">
        <v>1282</v>
      </c>
      <c r="N165" s="7">
        <v>3</v>
      </c>
      <c r="O165" s="64" t="s">
        <v>237</v>
      </c>
      <c r="P165" s="65">
        <v>46179</v>
      </c>
      <c r="Q165" s="65">
        <v>46186</v>
      </c>
      <c r="R165" s="65">
        <v>46202</v>
      </c>
      <c r="S165" s="65">
        <v>46207</v>
      </c>
      <c r="T165" s="136"/>
      <c r="U165" s="136"/>
    </row>
    <row r="166" spans="1:21" ht="18.75" x14ac:dyDescent="0.3">
      <c r="A166" s="12" t="s">
        <v>238</v>
      </c>
      <c r="B166" s="27" t="s">
        <v>19</v>
      </c>
      <c r="C166" s="2">
        <v>14558069978</v>
      </c>
      <c r="D166" s="2">
        <v>82929684</v>
      </c>
      <c r="E166" s="2" t="s">
        <v>20</v>
      </c>
      <c r="F166" s="2" t="s">
        <v>21</v>
      </c>
      <c r="G166" s="2" t="s">
        <v>22</v>
      </c>
      <c r="H166" s="2" t="s">
        <v>30</v>
      </c>
      <c r="I166" s="34" t="s">
        <v>234</v>
      </c>
      <c r="J166" s="9">
        <v>0</v>
      </c>
      <c r="K166" s="4">
        <v>46206</v>
      </c>
      <c r="L166" s="11" t="b">
        <v>0</v>
      </c>
      <c r="M166" s="2" t="s">
        <v>1282</v>
      </c>
      <c r="N166" s="7">
        <v>2</v>
      </c>
      <c r="O166" s="64" t="s">
        <v>235</v>
      </c>
      <c r="P166" s="65">
        <v>46195</v>
      </c>
      <c r="Q166" s="65">
        <v>46202</v>
      </c>
      <c r="R166" s="65">
        <v>46221</v>
      </c>
      <c r="S166" s="65">
        <v>46221</v>
      </c>
      <c r="T166" s="136"/>
      <c r="U166" s="136"/>
    </row>
    <row r="167" spans="1:21" ht="18.75" x14ac:dyDescent="0.3">
      <c r="A167" s="12" t="s">
        <v>239</v>
      </c>
      <c r="B167" s="29" t="s">
        <v>27</v>
      </c>
      <c r="C167" s="2">
        <v>14558069283</v>
      </c>
      <c r="D167" s="2">
        <v>82929684</v>
      </c>
      <c r="E167" s="2" t="s">
        <v>20</v>
      </c>
      <c r="F167" s="2" t="s">
        <v>21</v>
      </c>
      <c r="G167" s="2" t="s">
        <v>22</v>
      </c>
      <c r="H167" s="7" t="s">
        <v>23</v>
      </c>
      <c r="I167" s="34" t="s">
        <v>234</v>
      </c>
      <c r="J167" s="9">
        <v>0</v>
      </c>
      <c r="K167" s="4">
        <v>46206</v>
      </c>
      <c r="L167" s="11" t="b">
        <v>0</v>
      </c>
      <c r="M167" s="2" t="s">
        <v>1282</v>
      </c>
      <c r="N167" s="7">
        <v>4</v>
      </c>
      <c r="O167" s="64" t="s">
        <v>237</v>
      </c>
      <c r="P167" s="65">
        <v>46179</v>
      </c>
      <c r="Q167" s="65">
        <v>46186</v>
      </c>
      <c r="R167" s="65">
        <v>46202</v>
      </c>
      <c r="S167" s="65">
        <v>46207</v>
      </c>
      <c r="T167" s="136"/>
      <c r="U167" s="136"/>
    </row>
    <row r="168" spans="1:21" ht="18.75" x14ac:dyDescent="0.3">
      <c r="A168" s="12" t="s">
        <v>243</v>
      </c>
      <c r="B168" s="26" t="s">
        <v>65</v>
      </c>
      <c r="C168" s="2">
        <v>14558069127</v>
      </c>
      <c r="D168" s="2">
        <v>71205556</v>
      </c>
      <c r="E168" s="2" t="s">
        <v>20</v>
      </c>
      <c r="F168" s="2" t="s">
        <v>21</v>
      </c>
      <c r="G168" s="2" t="s">
        <v>22</v>
      </c>
      <c r="H168" s="2" t="s">
        <v>30</v>
      </c>
      <c r="I168" s="49" t="s">
        <v>241</v>
      </c>
      <c r="J168" s="9">
        <v>0</v>
      </c>
      <c r="K168" s="4">
        <v>46196</v>
      </c>
      <c r="L168" s="11" t="b">
        <v>1</v>
      </c>
      <c r="M168" s="2" t="s">
        <v>1228</v>
      </c>
      <c r="N168" s="2">
        <v>1</v>
      </c>
      <c r="O168" s="64" t="s">
        <v>242</v>
      </c>
      <c r="P168" s="65">
        <v>46175</v>
      </c>
      <c r="Q168" s="65">
        <v>46182</v>
      </c>
      <c r="R168" s="65">
        <v>46197</v>
      </c>
      <c r="S168" s="65">
        <v>46203</v>
      </c>
      <c r="T168" s="139">
        <v>46234</v>
      </c>
      <c r="U168" s="136" t="s">
        <v>1193</v>
      </c>
    </row>
    <row r="169" spans="1:21" ht="18.75" x14ac:dyDescent="0.3">
      <c r="A169" s="12" t="s">
        <v>244</v>
      </c>
      <c r="B169" s="26" t="s">
        <v>65</v>
      </c>
      <c r="C169" s="2">
        <v>14558069077</v>
      </c>
      <c r="D169" s="2">
        <v>71205556</v>
      </c>
      <c r="E169" s="2" t="s">
        <v>20</v>
      </c>
      <c r="F169" s="2" t="s">
        <v>21</v>
      </c>
      <c r="G169" s="2" t="s">
        <v>22</v>
      </c>
      <c r="H169" s="7" t="s">
        <v>23</v>
      </c>
      <c r="I169" s="49" t="s">
        <v>241</v>
      </c>
      <c r="J169" s="9">
        <v>0</v>
      </c>
      <c r="K169" s="4">
        <v>46196</v>
      </c>
      <c r="L169" s="11" t="b">
        <v>1</v>
      </c>
      <c r="M169" s="2" t="s">
        <v>1228</v>
      </c>
      <c r="N169" s="2">
        <v>2</v>
      </c>
      <c r="O169" s="64" t="s">
        <v>242</v>
      </c>
      <c r="P169" s="65">
        <v>46175</v>
      </c>
      <c r="Q169" s="65">
        <v>46182</v>
      </c>
      <c r="R169" s="65">
        <v>46197</v>
      </c>
      <c r="S169" s="65">
        <v>46203</v>
      </c>
      <c r="T169" s="139">
        <v>46234</v>
      </c>
      <c r="U169" s="136" t="s">
        <v>1193</v>
      </c>
    </row>
    <row r="170" spans="1:21" ht="18.75" x14ac:dyDescent="0.3">
      <c r="A170" s="12" t="s">
        <v>245</v>
      </c>
      <c r="B170" s="26" t="s">
        <v>65</v>
      </c>
      <c r="C170" s="2">
        <v>14558068251</v>
      </c>
      <c r="D170" s="2">
        <v>71205556</v>
      </c>
      <c r="E170" s="2" t="s">
        <v>20</v>
      </c>
      <c r="F170" s="2" t="s">
        <v>21</v>
      </c>
      <c r="G170" s="2" t="s">
        <v>22</v>
      </c>
      <c r="H170" s="8" t="s">
        <v>33</v>
      </c>
      <c r="I170" s="49" t="s">
        <v>241</v>
      </c>
      <c r="J170" s="9">
        <v>0</v>
      </c>
      <c r="K170" s="4">
        <v>46196</v>
      </c>
      <c r="L170" s="11" t="b">
        <v>1</v>
      </c>
      <c r="M170" s="2" t="s">
        <v>1228</v>
      </c>
      <c r="N170" s="2">
        <v>3</v>
      </c>
      <c r="O170" s="64" t="s">
        <v>242</v>
      </c>
      <c r="P170" s="65">
        <v>46175</v>
      </c>
      <c r="Q170" s="65">
        <v>46182</v>
      </c>
      <c r="R170" s="65">
        <v>46197</v>
      </c>
      <c r="S170" s="65">
        <v>46203</v>
      </c>
      <c r="T170" s="139">
        <v>46234</v>
      </c>
      <c r="U170" s="136" t="s">
        <v>1193</v>
      </c>
    </row>
    <row r="171" spans="1:21" ht="18.75" x14ac:dyDescent="0.3">
      <c r="A171" s="12" t="s">
        <v>246</v>
      </c>
      <c r="B171" s="26" t="s">
        <v>65</v>
      </c>
      <c r="C171" s="2">
        <v>14558068210</v>
      </c>
      <c r="D171" s="2">
        <v>71205556</v>
      </c>
      <c r="E171" s="2" t="s">
        <v>20</v>
      </c>
      <c r="F171" s="2" t="s">
        <v>21</v>
      </c>
      <c r="G171" s="2" t="s">
        <v>22</v>
      </c>
      <c r="H171" s="2" t="s">
        <v>30</v>
      </c>
      <c r="I171" s="49" t="s">
        <v>241</v>
      </c>
      <c r="J171" s="9">
        <v>0</v>
      </c>
      <c r="K171" s="4">
        <v>46196</v>
      </c>
      <c r="L171" s="11" t="b">
        <v>1</v>
      </c>
      <c r="M171" s="2" t="s">
        <v>1228</v>
      </c>
      <c r="N171" s="2">
        <v>4</v>
      </c>
      <c r="O171" s="64" t="s">
        <v>242</v>
      </c>
      <c r="P171" s="65">
        <v>46175</v>
      </c>
      <c r="Q171" s="65">
        <v>46182</v>
      </c>
      <c r="R171" s="65">
        <v>46197</v>
      </c>
      <c r="S171" s="65">
        <v>46203</v>
      </c>
      <c r="T171" s="139">
        <v>46234</v>
      </c>
      <c r="U171" s="136" t="s">
        <v>1193</v>
      </c>
    </row>
    <row r="172" spans="1:21" ht="18.75" x14ac:dyDescent="0.3">
      <c r="A172" s="12" t="s">
        <v>247</v>
      </c>
      <c r="B172" s="26" t="s">
        <v>65</v>
      </c>
      <c r="C172" s="2">
        <v>14558069853</v>
      </c>
      <c r="D172" s="2">
        <v>71205556</v>
      </c>
      <c r="E172" s="2" t="s">
        <v>20</v>
      </c>
      <c r="F172" s="2" t="s">
        <v>21</v>
      </c>
      <c r="G172" s="2" t="s">
        <v>22</v>
      </c>
      <c r="H172" s="7" t="s">
        <v>23</v>
      </c>
      <c r="I172" s="49" t="s">
        <v>241</v>
      </c>
      <c r="J172" s="9">
        <v>0</v>
      </c>
      <c r="K172" s="4">
        <v>46196</v>
      </c>
      <c r="L172" s="11" t="b">
        <v>1</v>
      </c>
      <c r="M172" s="2" t="s">
        <v>1228</v>
      </c>
      <c r="N172" s="2">
        <v>5</v>
      </c>
      <c r="O172" s="64" t="s">
        <v>242</v>
      </c>
      <c r="P172" s="65">
        <v>46175</v>
      </c>
      <c r="Q172" s="65">
        <v>46182</v>
      </c>
      <c r="R172" s="65">
        <v>46197</v>
      </c>
      <c r="S172" s="65">
        <v>46203</v>
      </c>
      <c r="T172" s="139">
        <v>46234</v>
      </c>
      <c r="U172" s="136" t="s">
        <v>1193</v>
      </c>
    </row>
    <row r="173" spans="1:21" ht="18.75" x14ac:dyDescent="0.3">
      <c r="A173" s="12" t="s">
        <v>248</v>
      </c>
      <c r="B173" s="26" t="s">
        <v>65</v>
      </c>
      <c r="C173" s="2">
        <v>14558069911</v>
      </c>
      <c r="D173" s="2">
        <v>71205556</v>
      </c>
      <c r="E173" s="2" t="s">
        <v>20</v>
      </c>
      <c r="F173" s="2" t="s">
        <v>21</v>
      </c>
      <c r="G173" s="2" t="s">
        <v>22</v>
      </c>
      <c r="H173" s="8" t="s">
        <v>33</v>
      </c>
      <c r="I173" s="49" t="s">
        <v>241</v>
      </c>
      <c r="J173" s="9">
        <v>0</v>
      </c>
      <c r="K173" s="4">
        <v>46196</v>
      </c>
      <c r="L173" s="11" t="b">
        <v>1</v>
      </c>
      <c r="M173" s="2" t="s">
        <v>1228</v>
      </c>
      <c r="N173" s="2">
        <v>6</v>
      </c>
      <c r="O173" s="64" t="s">
        <v>242</v>
      </c>
      <c r="P173" s="65">
        <v>46175</v>
      </c>
      <c r="Q173" s="65">
        <v>46182</v>
      </c>
      <c r="R173" s="65">
        <v>46197</v>
      </c>
      <c r="S173" s="65">
        <v>46203</v>
      </c>
      <c r="T173" s="139">
        <v>46234</v>
      </c>
      <c r="U173" s="136" t="s">
        <v>1193</v>
      </c>
    </row>
    <row r="174" spans="1:21" ht="18.75" x14ac:dyDescent="0.3">
      <c r="A174" s="12" t="s">
        <v>249</v>
      </c>
      <c r="B174" s="28" t="s">
        <v>174</v>
      </c>
      <c r="C174" s="2">
        <v>14558069069</v>
      </c>
      <c r="D174" s="2">
        <v>71205556</v>
      </c>
      <c r="E174" s="2" t="s">
        <v>20</v>
      </c>
      <c r="F174" s="2" t="s">
        <v>21</v>
      </c>
      <c r="G174" s="2" t="s">
        <v>22</v>
      </c>
      <c r="H174" s="7" t="s">
        <v>23</v>
      </c>
      <c r="I174" s="49" t="s">
        <v>241</v>
      </c>
      <c r="J174" s="9">
        <v>0</v>
      </c>
      <c r="K174" s="4">
        <v>46196</v>
      </c>
      <c r="L174" s="11" t="b">
        <v>1</v>
      </c>
      <c r="M174" s="2" t="s">
        <v>1228</v>
      </c>
      <c r="N174" s="2">
        <v>7</v>
      </c>
      <c r="O174" s="64" t="s">
        <v>230</v>
      </c>
      <c r="P174" s="65">
        <v>46155</v>
      </c>
      <c r="Q174" s="65">
        <v>46162</v>
      </c>
      <c r="R174" s="65">
        <v>46176</v>
      </c>
      <c r="S174" s="65">
        <v>46182</v>
      </c>
      <c r="T174" s="139">
        <v>46234</v>
      </c>
      <c r="U174" s="136" t="s">
        <v>1193</v>
      </c>
    </row>
    <row r="175" spans="1:21" ht="18.75" x14ac:dyDescent="0.3">
      <c r="A175" s="12" t="s">
        <v>250</v>
      </c>
      <c r="B175" s="28" t="s">
        <v>174</v>
      </c>
      <c r="C175" s="2">
        <v>14558069333</v>
      </c>
      <c r="D175" s="2">
        <v>71205556</v>
      </c>
      <c r="E175" s="2" t="s">
        <v>20</v>
      </c>
      <c r="F175" s="2" t="s">
        <v>21</v>
      </c>
      <c r="G175" s="2" t="s">
        <v>22</v>
      </c>
      <c r="H175" s="2" t="s">
        <v>30</v>
      </c>
      <c r="I175" s="49" t="s">
        <v>241</v>
      </c>
      <c r="J175" s="9">
        <v>0</v>
      </c>
      <c r="K175" s="4">
        <v>46196</v>
      </c>
      <c r="L175" s="11" t="b">
        <v>1</v>
      </c>
      <c r="M175" s="2" t="s">
        <v>1228</v>
      </c>
      <c r="N175" s="2">
        <v>8</v>
      </c>
      <c r="O175" s="64" t="s">
        <v>230</v>
      </c>
      <c r="P175" s="65">
        <v>46155</v>
      </c>
      <c r="Q175" s="65">
        <v>46162</v>
      </c>
      <c r="R175" s="65">
        <v>46176</v>
      </c>
      <c r="S175" s="65">
        <v>46182</v>
      </c>
      <c r="T175" s="139">
        <v>46234</v>
      </c>
      <c r="U175" s="136" t="s">
        <v>1193</v>
      </c>
    </row>
    <row r="176" spans="1:21" ht="18.75" x14ac:dyDescent="0.3">
      <c r="A176" s="12" t="s">
        <v>251</v>
      </c>
      <c r="B176" s="27" t="s">
        <v>19</v>
      </c>
      <c r="C176" s="2">
        <v>14558069473</v>
      </c>
      <c r="D176" s="2">
        <v>82929684</v>
      </c>
      <c r="E176" s="2" t="s">
        <v>20</v>
      </c>
      <c r="F176" s="2" t="s">
        <v>21</v>
      </c>
      <c r="G176" s="2" t="s">
        <v>22</v>
      </c>
      <c r="H176" s="7" t="s">
        <v>23</v>
      </c>
      <c r="I176" s="35" t="s">
        <v>252</v>
      </c>
      <c r="J176" s="9">
        <v>0</v>
      </c>
      <c r="K176" s="4">
        <v>46206</v>
      </c>
      <c r="L176" s="11" t="b">
        <v>0</v>
      </c>
      <c r="M176" s="2" t="s">
        <v>1283</v>
      </c>
      <c r="N176" s="7">
        <v>8</v>
      </c>
      <c r="O176" s="64" t="s">
        <v>235</v>
      </c>
      <c r="P176" s="65">
        <v>46195</v>
      </c>
      <c r="Q176" s="65">
        <v>46202</v>
      </c>
      <c r="R176" s="65">
        <v>46221</v>
      </c>
      <c r="S176" s="65">
        <v>46221</v>
      </c>
      <c r="T176" s="136"/>
      <c r="U176" s="136"/>
    </row>
    <row r="177" spans="1:21" ht="18.75" x14ac:dyDescent="0.3">
      <c r="A177" s="12" t="s">
        <v>253</v>
      </c>
      <c r="B177" s="29" t="s">
        <v>27</v>
      </c>
      <c r="C177" s="2">
        <v>14558069366</v>
      </c>
      <c r="D177" s="2">
        <v>82929684</v>
      </c>
      <c r="E177" s="2" t="s">
        <v>20</v>
      </c>
      <c r="F177" s="2" t="s">
        <v>21</v>
      </c>
      <c r="G177" s="2" t="s">
        <v>22</v>
      </c>
      <c r="H177" s="2" t="s">
        <v>30</v>
      </c>
      <c r="I177" s="35" t="s">
        <v>252</v>
      </c>
      <c r="J177" s="9">
        <v>0</v>
      </c>
      <c r="K177" s="4">
        <v>46206</v>
      </c>
      <c r="L177" s="11" t="b">
        <v>0</v>
      </c>
      <c r="M177" s="2" t="s">
        <v>1283</v>
      </c>
      <c r="N177" s="7">
        <v>4</v>
      </c>
      <c r="O177" s="64" t="s">
        <v>237</v>
      </c>
      <c r="P177" s="65">
        <v>46179</v>
      </c>
      <c r="Q177" s="65">
        <v>46186</v>
      </c>
      <c r="R177" s="65">
        <v>46202</v>
      </c>
      <c r="S177" s="65">
        <v>46207</v>
      </c>
      <c r="T177" s="136"/>
      <c r="U177" s="136"/>
    </row>
    <row r="178" spans="1:21" ht="18.75" x14ac:dyDescent="0.3">
      <c r="A178" s="12" t="s">
        <v>254</v>
      </c>
      <c r="B178" s="27" t="s">
        <v>19</v>
      </c>
      <c r="C178" s="2">
        <v>14558069614</v>
      </c>
      <c r="D178" s="2">
        <v>82929684</v>
      </c>
      <c r="E178" s="2" t="s">
        <v>20</v>
      </c>
      <c r="F178" s="2" t="s">
        <v>21</v>
      </c>
      <c r="G178" s="2" t="s">
        <v>22</v>
      </c>
      <c r="H178" s="2" t="s">
        <v>30</v>
      </c>
      <c r="I178" s="35" t="s">
        <v>252</v>
      </c>
      <c r="J178" s="9">
        <v>0</v>
      </c>
      <c r="K178" s="4">
        <v>46206</v>
      </c>
      <c r="L178" s="11" t="b">
        <v>0</v>
      </c>
      <c r="M178" s="2" t="s">
        <v>1283</v>
      </c>
      <c r="N178" s="7">
        <v>7</v>
      </c>
      <c r="O178" s="64" t="s">
        <v>235</v>
      </c>
      <c r="P178" s="65">
        <v>46195</v>
      </c>
      <c r="Q178" s="65">
        <v>46202</v>
      </c>
      <c r="R178" s="65">
        <v>46221</v>
      </c>
      <c r="S178" s="65">
        <v>46221</v>
      </c>
      <c r="T178" s="136"/>
      <c r="U178" s="136"/>
    </row>
    <row r="179" spans="1:21" ht="18.75" x14ac:dyDescent="0.3">
      <c r="A179" s="12" t="s">
        <v>255</v>
      </c>
      <c r="B179" s="29" t="s">
        <v>27</v>
      </c>
      <c r="C179" s="2">
        <v>14558068905</v>
      </c>
      <c r="D179" s="2">
        <v>82929684</v>
      </c>
      <c r="E179" s="2" t="s">
        <v>20</v>
      </c>
      <c r="F179" s="2" t="s">
        <v>21</v>
      </c>
      <c r="G179" s="2" t="s">
        <v>22</v>
      </c>
      <c r="H179" s="8" t="s">
        <v>33</v>
      </c>
      <c r="I179" s="35" t="s">
        <v>252</v>
      </c>
      <c r="J179" s="9">
        <v>0</v>
      </c>
      <c r="K179" s="4">
        <v>46206</v>
      </c>
      <c r="L179" s="11" t="b">
        <v>0</v>
      </c>
      <c r="M179" s="2" t="s">
        <v>1283</v>
      </c>
      <c r="N179" s="7">
        <v>3</v>
      </c>
      <c r="O179" s="64" t="s">
        <v>237</v>
      </c>
      <c r="P179" s="65">
        <v>46179</v>
      </c>
      <c r="Q179" s="65">
        <v>46186</v>
      </c>
      <c r="R179" s="65">
        <v>46202</v>
      </c>
      <c r="S179" s="65">
        <v>46207</v>
      </c>
      <c r="T179" s="136"/>
      <c r="U179" s="136"/>
    </row>
    <row r="180" spans="1:21" ht="18.75" x14ac:dyDescent="0.3">
      <c r="A180" s="12" t="s">
        <v>256</v>
      </c>
      <c r="B180" s="27" t="s">
        <v>19</v>
      </c>
      <c r="C180" s="2">
        <v>14558069630</v>
      </c>
      <c r="D180" s="2">
        <v>82929684</v>
      </c>
      <c r="E180" s="2" t="s">
        <v>20</v>
      </c>
      <c r="F180" s="2" t="s">
        <v>21</v>
      </c>
      <c r="G180" s="2" t="s">
        <v>22</v>
      </c>
      <c r="H180" s="8" t="s">
        <v>33</v>
      </c>
      <c r="I180" s="35" t="s">
        <v>252</v>
      </c>
      <c r="J180" s="9">
        <v>0</v>
      </c>
      <c r="K180" s="4">
        <v>46206</v>
      </c>
      <c r="L180" s="11" t="b">
        <v>0</v>
      </c>
      <c r="M180" s="2" t="s">
        <v>1283</v>
      </c>
      <c r="N180" s="7">
        <v>6</v>
      </c>
      <c r="O180" s="64" t="s">
        <v>235</v>
      </c>
      <c r="P180" s="65">
        <v>46195</v>
      </c>
      <c r="Q180" s="65">
        <v>46202</v>
      </c>
      <c r="R180" s="65">
        <v>46221</v>
      </c>
      <c r="S180" s="65">
        <v>46221</v>
      </c>
      <c r="T180" s="136"/>
      <c r="U180" s="136"/>
    </row>
    <row r="181" spans="1:21" ht="18.75" x14ac:dyDescent="0.3">
      <c r="A181" s="12" t="s">
        <v>257</v>
      </c>
      <c r="B181" s="29" t="s">
        <v>27</v>
      </c>
      <c r="C181" s="2">
        <v>14558068863</v>
      </c>
      <c r="D181" s="2">
        <v>82929684</v>
      </c>
      <c r="E181" s="2" t="s">
        <v>20</v>
      </c>
      <c r="F181" s="2" t="s">
        <v>21</v>
      </c>
      <c r="G181" s="2" t="s">
        <v>22</v>
      </c>
      <c r="H181" s="7" t="s">
        <v>23</v>
      </c>
      <c r="I181" s="35" t="s">
        <v>252</v>
      </c>
      <c r="J181" s="9">
        <v>0</v>
      </c>
      <c r="K181" s="4">
        <v>46206</v>
      </c>
      <c r="L181" s="11" t="b">
        <v>1</v>
      </c>
      <c r="M181" s="2" t="s">
        <v>1283</v>
      </c>
      <c r="N181" s="2">
        <v>1</v>
      </c>
      <c r="O181" s="64" t="s">
        <v>237</v>
      </c>
      <c r="P181" s="65">
        <v>46179</v>
      </c>
      <c r="Q181" s="65">
        <v>46186</v>
      </c>
      <c r="R181" s="65">
        <v>46202</v>
      </c>
      <c r="S181" s="65">
        <v>46207</v>
      </c>
      <c r="T181" s="136"/>
      <c r="U181" s="136"/>
    </row>
    <row r="182" spans="1:21" ht="18.75" x14ac:dyDescent="0.3">
      <c r="A182" s="12" t="s">
        <v>258</v>
      </c>
      <c r="B182" s="27" t="s">
        <v>19</v>
      </c>
      <c r="C182" s="2">
        <v>14558069655</v>
      </c>
      <c r="D182" s="2">
        <v>82929684</v>
      </c>
      <c r="E182" s="2" t="s">
        <v>20</v>
      </c>
      <c r="F182" s="2" t="s">
        <v>21</v>
      </c>
      <c r="G182" s="2" t="s">
        <v>22</v>
      </c>
      <c r="H182" s="7" t="s">
        <v>23</v>
      </c>
      <c r="I182" s="35" t="s">
        <v>252</v>
      </c>
      <c r="J182" s="9">
        <v>0</v>
      </c>
      <c r="K182" s="4">
        <v>46206</v>
      </c>
      <c r="L182" s="11" t="b">
        <v>1</v>
      </c>
      <c r="M182" s="2" t="s">
        <v>1283</v>
      </c>
      <c r="N182" s="2">
        <v>5</v>
      </c>
      <c r="O182" s="64" t="s">
        <v>235</v>
      </c>
      <c r="P182" s="65">
        <v>46195</v>
      </c>
      <c r="Q182" s="65">
        <v>46202</v>
      </c>
      <c r="R182" s="65">
        <v>46221</v>
      </c>
      <c r="S182" s="65">
        <v>46221</v>
      </c>
      <c r="T182" s="136"/>
      <c r="U182" s="136"/>
    </row>
    <row r="183" spans="1:21" ht="18.75" x14ac:dyDescent="0.3">
      <c r="A183" s="12" t="s">
        <v>259</v>
      </c>
      <c r="B183" s="29" t="s">
        <v>27</v>
      </c>
      <c r="C183" s="2">
        <v>14558069622</v>
      </c>
      <c r="D183" s="2">
        <v>82929684</v>
      </c>
      <c r="E183" s="2" t="s">
        <v>20</v>
      </c>
      <c r="F183" s="2" t="s">
        <v>21</v>
      </c>
      <c r="G183" s="2" t="s">
        <v>22</v>
      </c>
      <c r="H183" s="2" t="s">
        <v>30</v>
      </c>
      <c r="I183" s="35" t="s">
        <v>252</v>
      </c>
      <c r="J183" s="9">
        <v>0</v>
      </c>
      <c r="K183" s="4">
        <v>46206</v>
      </c>
      <c r="L183" s="11" t="b">
        <v>0</v>
      </c>
      <c r="M183" s="2" t="s">
        <v>1283</v>
      </c>
      <c r="N183" s="7">
        <v>2</v>
      </c>
      <c r="O183" s="64" t="s">
        <v>28</v>
      </c>
      <c r="P183" s="65">
        <v>46167</v>
      </c>
      <c r="Q183" s="65">
        <v>46174</v>
      </c>
      <c r="R183" s="65">
        <v>46188</v>
      </c>
      <c r="S183" s="65">
        <v>46195</v>
      </c>
      <c r="T183" s="136"/>
      <c r="U183" s="136"/>
    </row>
    <row r="184" spans="1:21" ht="18.75" x14ac:dyDescent="0.3">
      <c r="A184" s="12" t="s">
        <v>260</v>
      </c>
      <c r="B184" s="29" t="s">
        <v>27</v>
      </c>
      <c r="C184" s="2">
        <v>14558069994</v>
      </c>
      <c r="D184" s="2">
        <v>71205556</v>
      </c>
      <c r="E184" s="2" t="s">
        <v>20</v>
      </c>
      <c r="F184" s="2" t="s">
        <v>21</v>
      </c>
      <c r="G184" s="2" t="s">
        <v>22</v>
      </c>
      <c r="H184" s="7" t="s">
        <v>23</v>
      </c>
      <c r="I184" s="50" t="s">
        <v>261</v>
      </c>
      <c r="J184" s="9">
        <v>0</v>
      </c>
      <c r="K184" s="4">
        <v>46225</v>
      </c>
      <c r="L184" s="11" t="b">
        <v>0</v>
      </c>
      <c r="M184" s="2"/>
      <c r="N184" s="2"/>
      <c r="O184" s="64" t="s">
        <v>262</v>
      </c>
      <c r="P184" s="65">
        <v>46242</v>
      </c>
      <c r="Q184" s="65">
        <v>46251</v>
      </c>
      <c r="R184" s="65">
        <v>46265</v>
      </c>
      <c r="S184" s="65">
        <v>46270</v>
      </c>
      <c r="T184" s="136"/>
      <c r="U184" s="136"/>
    </row>
    <row r="185" spans="1:21" ht="18.75" x14ac:dyDescent="0.3">
      <c r="A185" s="12" t="s">
        <v>263</v>
      </c>
      <c r="B185" s="29" t="s">
        <v>27</v>
      </c>
      <c r="C185" s="2">
        <v>14558070117</v>
      </c>
      <c r="D185" s="2">
        <v>71205556</v>
      </c>
      <c r="E185" s="2" t="s">
        <v>20</v>
      </c>
      <c r="F185" s="2" t="s">
        <v>21</v>
      </c>
      <c r="G185" s="2" t="s">
        <v>22</v>
      </c>
      <c r="H185" s="2" t="s">
        <v>30</v>
      </c>
      <c r="I185" s="50" t="s">
        <v>261</v>
      </c>
      <c r="J185" s="9">
        <v>0</v>
      </c>
      <c r="K185" s="4">
        <v>46225</v>
      </c>
      <c r="L185" s="11" t="b">
        <v>0</v>
      </c>
      <c r="M185" s="2"/>
      <c r="N185" s="2"/>
      <c r="O185" s="64" t="s">
        <v>262</v>
      </c>
      <c r="P185" s="65">
        <v>46242</v>
      </c>
      <c r="Q185" s="65">
        <v>46251</v>
      </c>
      <c r="R185" s="65">
        <v>46265</v>
      </c>
      <c r="S185" s="65">
        <v>46270</v>
      </c>
      <c r="T185" s="136"/>
      <c r="U185" s="136"/>
    </row>
    <row r="186" spans="1:21" ht="18.75" x14ac:dyDescent="0.3">
      <c r="A186" s="12" t="s">
        <v>264</v>
      </c>
      <c r="B186" s="29" t="s">
        <v>27</v>
      </c>
      <c r="C186" s="2">
        <v>14558068814</v>
      </c>
      <c r="D186" s="2">
        <v>71205556</v>
      </c>
      <c r="E186" s="2" t="s">
        <v>20</v>
      </c>
      <c r="F186" s="2" t="s">
        <v>21</v>
      </c>
      <c r="G186" s="2" t="s">
        <v>22</v>
      </c>
      <c r="H186" s="8" t="s">
        <v>33</v>
      </c>
      <c r="I186" s="50" t="s">
        <v>261</v>
      </c>
      <c r="J186" s="9">
        <v>0</v>
      </c>
      <c r="K186" s="4">
        <v>46225</v>
      </c>
      <c r="L186" s="11" t="b">
        <v>0</v>
      </c>
      <c r="M186" s="2"/>
      <c r="N186" s="2"/>
      <c r="O186" s="64" t="s">
        <v>262</v>
      </c>
      <c r="P186" s="65">
        <v>46242</v>
      </c>
      <c r="Q186" s="65">
        <v>46251</v>
      </c>
      <c r="R186" s="65">
        <v>46265</v>
      </c>
      <c r="S186" s="65">
        <v>46270</v>
      </c>
      <c r="T186" s="136"/>
      <c r="U186" s="136"/>
    </row>
    <row r="187" spans="1:21" ht="18.75" x14ac:dyDescent="0.3">
      <c r="A187" s="12" t="s">
        <v>265</v>
      </c>
      <c r="B187" s="29" t="s">
        <v>27</v>
      </c>
      <c r="C187" s="2">
        <v>14558068996</v>
      </c>
      <c r="D187" s="2">
        <v>71205556</v>
      </c>
      <c r="E187" s="2" t="s">
        <v>20</v>
      </c>
      <c r="F187" s="2" t="s">
        <v>21</v>
      </c>
      <c r="G187" s="2" t="s">
        <v>22</v>
      </c>
      <c r="H187" s="7" t="s">
        <v>23</v>
      </c>
      <c r="I187" s="50" t="s">
        <v>261</v>
      </c>
      <c r="J187" s="9">
        <v>0</v>
      </c>
      <c r="K187" s="4">
        <v>46225</v>
      </c>
      <c r="L187" s="11" t="b">
        <v>0</v>
      </c>
      <c r="M187" s="2"/>
      <c r="N187" s="2"/>
      <c r="O187" s="64" t="s">
        <v>262</v>
      </c>
      <c r="P187" s="65">
        <v>46242</v>
      </c>
      <c r="Q187" s="65">
        <v>46251</v>
      </c>
      <c r="R187" s="65">
        <v>46265</v>
      </c>
      <c r="S187" s="65">
        <v>46270</v>
      </c>
      <c r="T187" s="136"/>
      <c r="U187" s="136"/>
    </row>
    <row r="188" spans="1:21" ht="18.75" x14ac:dyDescent="0.3">
      <c r="A188" s="12" t="s">
        <v>266</v>
      </c>
      <c r="B188" s="29" t="s">
        <v>27</v>
      </c>
      <c r="C188" s="2">
        <v>14558069457</v>
      </c>
      <c r="D188" s="2">
        <v>71205556</v>
      </c>
      <c r="E188" s="2" t="s">
        <v>20</v>
      </c>
      <c r="F188" s="2" t="s">
        <v>21</v>
      </c>
      <c r="G188" s="2" t="s">
        <v>22</v>
      </c>
      <c r="H188" s="2" t="s">
        <v>30</v>
      </c>
      <c r="I188" s="50" t="s">
        <v>261</v>
      </c>
      <c r="J188" s="9">
        <v>0</v>
      </c>
      <c r="K188" s="4">
        <v>46225</v>
      </c>
      <c r="L188" s="11" t="b">
        <v>0</v>
      </c>
      <c r="M188" s="2"/>
      <c r="N188" s="2"/>
      <c r="O188" s="64" t="s">
        <v>262</v>
      </c>
      <c r="P188" s="65">
        <v>46242</v>
      </c>
      <c r="Q188" s="65">
        <v>46251</v>
      </c>
      <c r="R188" s="65">
        <v>46265</v>
      </c>
      <c r="S188" s="65">
        <v>46270</v>
      </c>
      <c r="T188" s="136"/>
      <c r="U188" s="136"/>
    </row>
    <row r="189" spans="1:21" ht="18.75" x14ac:dyDescent="0.3">
      <c r="A189" s="12" t="s">
        <v>267</v>
      </c>
      <c r="B189" s="29" t="s">
        <v>27</v>
      </c>
      <c r="C189" s="2">
        <v>14558069028</v>
      </c>
      <c r="D189" s="2">
        <v>71205556</v>
      </c>
      <c r="E189" s="2" t="s">
        <v>20</v>
      </c>
      <c r="F189" s="2" t="s">
        <v>21</v>
      </c>
      <c r="G189" s="2" t="s">
        <v>22</v>
      </c>
      <c r="H189" s="8" t="s">
        <v>33</v>
      </c>
      <c r="I189" s="50" t="s">
        <v>261</v>
      </c>
      <c r="J189" s="9">
        <v>0</v>
      </c>
      <c r="K189" s="4">
        <v>46225</v>
      </c>
      <c r="L189" s="11" t="b">
        <v>0</v>
      </c>
      <c r="M189" s="2"/>
      <c r="N189" s="2"/>
      <c r="O189" s="64" t="s">
        <v>262</v>
      </c>
      <c r="P189" s="65">
        <v>46242</v>
      </c>
      <c r="Q189" s="65">
        <v>46251</v>
      </c>
      <c r="R189" s="65">
        <v>46265</v>
      </c>
      <c r="S189" s="65">
        <v>46270</v>
      </c>
      <c r="T189" s="136"/>
      <c r="U189" s="136"/>
    </row>
    <row r="190" spans="1:21" ht="18.75" x14ac:dyDescent="0.3">
      <c r="A190" s="12" t="s">
        <v>268</v>
      </c>
      <c r="B190" s="29" t="s">
        <v>27</v>
      </c>
      <c r="C190" s="2">
        <v>14558069218</v>
      </c>
      <c r="D190" s="2">
        <v>71205556</v>
      </c>
      <c r="E190" s="2" t="s">
        <v>20</v>
      </c>
      <c r="F190" s="2" t="s">
        <v>21</v>
      </c>
      <c r="G190" s="2" t="s">
        <v>22</v>
      </c>
      <c r="H190" s="7" t="s">
        <v>23</v>
      </c>
      <c r="I190" s="50" t="s">
        <v>261</v>
      </c>
      <c r="J190" s="9">
        <v>0</v>
      </c>
      <c r="K190" s="4">
        <v>46225</v>
      </c>
      <c r="L190" s="11" t="b">
        <v>0</v>
      </c>
      <c r="M190" s="2"/>
      <c r="N190" s="2"/>
      <c r="O190" s="64" t="s">
        <v>262</v>
      </c>
      <c r="P190" s="65">
        <v>46242</v>
      </c>
      <c r="Q190" s="65">
        <v>46251</v>
      </c>
      <c r="R190" s="65">
        <v>46265</v>
      </c>
      <c r="S190" s="65">
        <v>46270</v>
      </c>
      <c r="T190" s="136"/>
      <c r="U190" s="136"/>
    </row>
    <row r="191" spans="1:21" ht="18.75" x14ac:dyDescent="0.3">
      <c r="A191" s="12" t="s">
        <v>269</v>
      </c>
      <c r="B191" s="29" t="s">
        <v>27</v>
      </c>
      <c r="C191" s="2">
        <v>14558069648</v>
      </c>
      <c r="D191" s="2">
        <v>71205556</v>
      </c>
      <c r="E191" s="2" t="s">
        <v>20</v>
      </c>
      <c r="F191" s="2" t="s">
        <v>21</v>
      </c>
      <c r="G191" s="2" t="s">
        <v>22</v>
      </c>
      <c r="H191" s="2" t="s">
        <v>30</v>
      </c>
      <c r="I191" s="50" t="s">
        <v>261</v>
      </c>
      <c r="J191" s="9">
        <v>0</v>
      </c>
      <c r="K191" s="4">
        <v>46225</v>
      </c>
      <c r="L191" s="11" t="b">
        <v>0</v>
      </c>
      <c r="M191" s="2"/>
      <c r="N191" s="2"/>
      <c r="O191" s="64" t="s">
        <v>262</v>
      </c>
      <c r="P191" s="65">
        <v>46242</v>
      </c>
      <c r="Q191" s="65">
        <v>46251</v>
      </c>
      <c r="R191" s="65">
        <v>46265</v>
      </c>
      <c r="S191" s="65">
        <v>46270</v>
      </c>
      <c r="T191" s="136"/>
      <c r="U191" s="136"/>
    </row>
    <row r="192" spans="1:21" ht="18.75" x14ac:dyDescent="0.45">
      <c r="A192" s="14" t="s">
        <v>270</v>
      </c>
      <c r="B192" s="25" t="s">
        <v>79</v>
      </c>
      <c r="C192" s="2">
        <v>98819618</v>
      </c>
      <c r="D192" s="2">
        <v>82929684</v>
      </c>
      <c r="E192" s="2" t="s">
        <v>271</v>
      </c>
      <c r="F192" s="2" t="s">
        <v>272</v>
      </c>
      <c r="G192" s="2" t="s">
        <v>273</v>
      </c>
      <c r="H192" s="2" t="s">
        <v>274</v>
      </c>
      <c r="I192" s="2" t="s">
        <v>275</v>
      </c>
      <c r="J192" s="9">
        <v>0</v>
      </c>
      <c r="K192" s="4">
        <v>46182</v>
      </c>
      <c r="L192" s="10" t="b">
        <v>1</v>
      </c>
      <c r="M192" s="140" t="s">
        <v>1229</v>
      </c>
      <c r="N192" s="134">
        <v>10</v>
      </c>
      <c r="O192" s="64" t="s">
        <v>80</v>
      </c>
      <c r="P192" s="65">
        <v>46125</v>
      </c>
      <c r="Q192" s="65">
        <v>46132</v>
      </c>
      <c r="R192" s="65">
        <v>46148</v>
      </c>
      <c r="S192" s="65">
        <v>46154</v>
      </c>
      <c r="T192" s="136"/>
      <c r="U192" s="136"/>
    </row>
  </sheetData>
  <sortState xmlns:xlrd2="http://schemas.microsoft.com/office/spreadsheetml/2017/richdata2" ref="A2:U192">
    <sortCondition ref="I2:I192"/>
  </sortState>
  <phoneticPr fontId="10" type="noConversion"/>
  <conditionalFormatting sqref="C25:C192 C2:C23">
    <cfRule type="duplicateValues" dxfId="34" priority="8"/>
  </conditionalFormatting>
  <conditionalFormatting sqref="C117:C122">
    <cfRule type="duplicateValues" dxfId="33" priority="3"/>
  </conditionalFormatting>
  <conditionalFormatting sqref="C124:C132">
    <cfRule type="duplicateValues" dxfId="3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4"/>
  <sheetViews>
    <sheetView tabSelected="1" zoomScale="70" zoomScaleNormal="70" workbookViewId="0">
      <pane ySplit="1" topLeftCell="A2" activePane="bottomLeft" state="frozen"/>
      <selection pane="bottomLeft" activeCell="F10" sqref="F10"/>
    </sheetView>
  </sheetViews>
  <sheetFormatPr defaultColWidth="9" defaultRowHeight="13.5" x14ac:dyDescent="0.3"/>
  <cols>
    <col min="1" max="1" width="30.33203125" customWidth="1"/>
    <col min="2" max="2" width="20.46484375" bestFit="1" customWidth="1"/>
    <col min="3" max="3" width="27.53125" customWidth="1"/>
    <col min="4" max="4" width="21.59765625" bestFit="1" customWidth="1"/>
    <col min="5" max="5" width="19.73046875" bestFit="1" customWidth="1"/>
    <col min="6" max="6" width="25.59765625" bestFit="1" customWidth="1"/>
    <col min="7" max="7" width="31.1328125" bestFit="1" customWidth="1"/>
    <col min="8" max="8" width="39.53125" bestFit="1" customWidth="1"/>
    <col min="9" max="9" width="28.86328125" bestFit="1" customWidth="1"/>
    <col min="10" max="10" width="27.3984375" bestFit="1" customWidth="1"/>
    <col min="11" max="13" width="20.265625" customWidth="1"/>
    <col min="14" max="14" width="35.46484375" customWidth="1"/>
    <col min="15" max="15" width="20.1328125" bestFit="1" customWidth="1"/>
    <col min="16" max="16" width="24.59765625" bestFit="1" customWidth="1"/>
    <col min="17" max="17" width="27.6640625" bestFit="1" customWidth="1"/>
    <col min="18" max="18" width="22.86328125" customWidth="1"/>
    <col min="19" max="19" width="11.6640625" customWidth="1"/>
  </cols>
  <sheetData>
    <row r="1" spans="1:19" ht="18" x14ac:dyDescent="0.3">
      <c r="A1" s="1" t="s">
        <v>0</v>
      </c>
      <c r="B1" s="1" t="s">
        <v>1</v>
      </c>
      <c r="C1" s="54" t="s">
        <v>276</v>
      </c>
      <c r="D1" s="1" t="s">
        <v>4</v>
      </c>
      <c r="E1" s="1" t="s">
        <v>5</v>
      </c>
      <c r="F1" s="1" t="s">
        <v>277</v>
      </c>
      <c r="G1" s="1" t="s">
        <v>278</v>
      </c>
      <c r="H1" s="55" t="s">
        <v>279</v>
      </c>
      <c r="I1" s="1" t="s">
        <v>280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67" t="s">
        <v>281</v>
      </c>
      <c r="P1" s="67" t="s">
        <v>282</v>
      </c>
      <c r="Q1" s="1" t="s">
        <v>283</v>
      </c>
      <c r="R1" s="22" t="s">
        <v>1191</v>
      </c>
      <c r="S1" s="22" t="s">
        <v>1192</v>
      </c>
    </row>
    <row r="2" spans="1:19" ht="21.4" x14ac:dyDescent="0.3">
      <c r="A2" s="23" t="s">
        <v>116</v>
      </c>
      <c r="B2" s="61" t="s">
        <v>19</v>
      </c>
      <c r="C2" s="53" t="s">
        <v>1269</v>
      </c>
      <c r="D2" s="53" t="s">
        <v>284</v>
      </c>
      <c r="E2" s="53" t="s">
        <v>285</v>
      </c>
      <c r="F2" s="53" t="s">
        <v>286</v>
      </c>
      <c r="G2" s="3">
        <v>8.5000000000000006E-2</v>
      </c>
      <c r="H2" s="57">
        <v>46254</v>
      </c>
      <c r="I2" s="21" t="b">
        <v>1</v>
      </c>
      <c r="J2" s="63" t="s">
        <v>118</v>
      </c>
      <c r="K2" s="62">
        <v>46273</v>
      </c>
      <c r="L2" s="62">
        <v>46280</v>
      </c>
      <c r="M2" s="62">
        <v>46295</v>
      </c>
      <c r="N2" s="62">
        <v>46301</v>
      </c>
      <c r="O2" s="21" t="b">
        <v>0</v>
      </c>
      <c r="P2" s="21" t="b">
        <v>0</v>
      </c>
      <c r="Q2" s="17"/>
      <c r="R2" s="136"/>
      <c r="S2" s="136"/>
    </row>
    <row r="3" spans="1:19" ht="21.4" x14ac:dyDescent="0.3">
      <c r="A3" s="23" t="s">
        <v>119</v>
      </c>
      <c r="B3" s="61" t="s">
        <v>19</v>
      </c>
      <c r="C3" s="53" t="s">
        <v>1270</v>
      </c>
      <c r="D3" s="53" t="s">
        <v>284</v>
      </c>
      <c r="E3" s="53" t="s">
        <v>285</v>
      </c>
      <c r="F3" s="53" t="s">
        <v>286</v>
      </c>
      <c r="G3" s="3">
        <v>7.6999999999999999E-2</v>
      </c>
      <c r="H3" s="57">
        <v>46254</v>
      </c>
      <c r="I3" s="21" t="b">
        <v>1</v>
      </c>
      <c r="J3" s="63" t="s">
        <v>118</v>
      </c>
      <c r="K3" s="62">
        <v>46273</v>
      </c>
      <c r="L3" s="62">
        <v>46280</v>
      </c>
      <c r="M3" s="62">
        <v>46295</v>
      </c>
      <c r="N3" s="62">
        <v>46301</v>
      </c>
      <c r="O3" s="21" t="b">
        <v>0</v>
      </c>
      <c r="P3" s="21" t="b">
        <v>0</v>
      </c>
      <c r="Q3" s="17"/>
      <c r="R3" s="136"/>
      <c r="S3" s="136"/>
    </row>
    <row r="4" spans="1:19" ht="21.4" x14ac:dyDescent="0.3">
      <c r="A4" s="23" t="s">
        <v>120</v>
      </c>
      <c r="B4" s="60" t="s">
        <v>27</v>
      </c>
      <c r="C4" s="53" t="s">
        <v>1299</v>
      </c>
      <c r="D4" s="53" t="s">
        <v>284</v>
      </c>
      <c r="E4" s="53" t="s">
        <v>285</v>
      </c>
      <c r="F4" s="53" t="s">
        <v>286</v>
      </c>
      <c r="G4" s="3">
        <v>9.1999999999999998E-2</v>
      </c>
      <c r="H4" s="57">
        <v>46258</v>
      </c>
      <c r="I4" s="21" t="b">
        <v>0</v>
      </c>
      <c r="J4" s="63" t="s">
        <v>121</v>
      </c>
      <c r="K4" s="62">
        <v>46213</v>
      </c>
      <c r="L4" s="62">
        <v>46220</v>
      </c>
      <c r="M4" s="62">
        <v>46234</v>
      </c>
      <c r="N4" s="62">
        <v>46240</v>
      </c>
      <c r="O4" s="21" t="b">
        <v>0</v>
      </c>
      <c r="P4" s="21" t="b">
        <v>0</v>
      </c>
      <c r="Q4" s="17"/>
      <c r="R4" s="136"/>
      <c r="S4" s="136"/>
    </row>
    <row r="5" spans="1:19" ht="21.4" x14ac:dyDescent="0.3">
      <c r="A5" s="23" t="s">
        <v>122</v>
      </c>
      <c r="B5" s="61" t="s">
        <v>19</v>
      </c>
      <c r="C5" s="53" t="s">
        <v>1272</v>
      </c>
      <c r="D5" s="53" t="s">
        <v>284</v>
      </c>
      <c r="E5" s="53" t="s">
        <v>285</v>
      </c>
      <c r="F5" s="53" t="s">
        <v>286</v>
      </c>
      <c r="G5" s="3">
        <v>9.1999999999999998E-2</v>
      </c>
      <c r="H5" s="57">
        <v>46254</v>
      </c>
      <c r="I5" s="21" t="b">
        <v>1</v>
      </c>
      <c r="J5" s="63" t="s">
        <v>118</v>
      </c>
      <c r="K5" s="62">
        <v>46273</v>
      </c>
      <c r="L5" s="62">
        <v>46280</v>
      </c>
      <c r="M5" s="62">
        <v>46295</v>
      </c>
      <c r="N5" s="62">
        <v>46301</v>
      </c>
      <c r="O5" s="21" t="b">
        <v>0</v>
      </c>
      <c r="P5" s="21" t="b">
        <v>0</v>
      </c>
      <c r="Q5" s="17"/>
      <c r="R5" s="136"/>
      <c r="S5" s="136"/>
    </row>
    <row r="6" spans="1:19" ht="21.4" x14ac:dyDescent="0.3">
      <c r="A6" s="23" t="s">
        <v>123</v>
      </c>
      <c r="B6" s="60" t="s">
        <v>27</v>
      </c>
      <c r="C6" s="53" t="s">
        <v>1279</v>
      </c>
      <c r="D6" s="53" t="s">
        <v>284</v>
      </c>
      <c r="E6" s="53" t="s">
        <v>285</v>
      </c>
      <c r="F6" s="53" t="s">
        <v>286</v>
      </c>
      <c r="G6" s="3">
        <v>9.2999999999999999E-2</v>
      </c>
      <c r="H6" s="57">
        <v>46255</v>
      </c>
      <c r="I6" s="21" t="b">
        <v>1</v>
      </c>
      <c r="J6" s="63" t="s">
        <v>121</v>
      </c>
      <c r="K6" s="62">
        <v>46213</v>
      </c>
      <c r="L6" s="62">
        <v>46220</v>
      </c>
      <c r="M6" s="62">
        <v>46234</v>
      </c>
      <c r="N6" s="62">
        <v>46240</v>
      </c>
      <c r="O6" s="21" t="b">
        <v>0</v>
      </c>
      <c r="P6" s="21" t="b">
        <v>0</v>
      </c>
      <c r="Q6" s="17"/>
      <c r="R6" s="136"/>
      <c r="S6" s="136"/>
    </row>
    <row r="7" spans="1:19" ht="21.4" x14ac:dyDescent="0.3">
      <c r="A7" s="23" t="s">
        <v>124</v>
      </c>
      <c r="B7" s="61" t="s">
        <v>19</v>
      </c>
      <c r="C7" s="53" t="s">
        <v>1274</v>
      </c>
      <c r="D7" s="53" t="s">
        <v>284</v>
      </c>
      <c r="E7" s="53" t="s">
        <v>285</v>
      </c>
      <c r="F7" s="53" t="s">
        <v>286</v>
      </c>
      <c r="G7" s="3">
        <v>8.5000000000000006E-2</v>
      </c>
      <c r="H7" s="57">
        <v>46254</v>
      </c>
      <c r="I7" s="21" t="b">
        <v>1</v>
      </c>
      <c r="J7" s="63" t="s">
        <v>118</v>
      </c>
      <c r="K7" s="62">
        <v>46273</v>
      </c>
      <c r="L7" s="62">
        <v>46280</v>
      </c>
      <c r="M7" s="62">
        <v>46295</v>
      </c>
      <c r="N7" s="62">
        <v>46301</v>
      </c>
      <c r="O7" s="21" t="b">
        <v>0</v>
      </c>
      <c r="P7" s="21" t="b">
        <v>0</v>
      </c>
      <c r="Q7" s="17"/>
      <c r="R7" s="136"/>
      <c r="S7" s="136"/>
    </row>
    <row r="8" spans="1:19" ht="21.4" x14ac:dyDescent="0.3">
      <c r="A8" s="23" t="s">
        <v>125</v>
      </c>
      <c r="B8" s="60" t="s">
        <v>27</v>
      </c>
      <c r="C8" s="53" t="s">
        <v>1280</v>
      </c>
      <c r="D8" s="53" t="s">
        <v>284</v>
      </c>
      <c r="E8" s="53" t="s">
        <v>285</v>
      </c>
      <c r="F8" s="53" t="s">
        <v>286</v>
      </c>
      <c r="G8" s="3">
        <v>0.104</v>
      </c>
      <c r="H8" s="57">
        <v>46255</v>
      </c>
      <c r="I8" s="21" t="b">
        <v>1</v>
      </c>
      <c r="J8" s="63" t="s">
        <v>121</v>
      </c>
      <c r="K8" s="62">
        <v>46213</v>
      </c>
      <c r="L8" s="62">
        <v>46220</v>
      </c>
      <c r="M8" s="62">
        <v>46234</v>
      </c>
      <c r="N8" s="62">
        <v>46240</v>
      </c>
      <c r="O8" s="21" t="b">
        <v>0</v>
      </c>
      <c r="P8" s="21" t="b">
        <v>0</v>
      </c>
      <c r="Q8" s="17"/>
      <c r="R8" s="136"/>
      <c r="S8" s="136"/>
    </row>
    <row r="9" spans="1:19" ht="21.4" x14ac:dyDescent="0.3">
      <c r="A9" s="23" t="s">
        <v>126</v>
      </c>
      <c r="B9" s="61" t="s">
        <v>19</v>
      </c>
      <c r="C9" s="53" t="s">
        <v>1268</v>
      </c>
      <c r="D9" s="53" t="s">
        <v>284</v>
      </c>
      <c r="E9" s="53" t="s">
        <v>285</v>
      </c>
      <c r="F9" s="53" t="s">
        <v>286</v>
      </c>
      <c r="G9" s="3">
        <v>8.5000000000000006E-2</v>
      </c>
      <c r="H9" s="57">
        <v>46254</v>
      </c>
      <c r="I9" s="21" t="b">
        <v>1</v>
      </c>
      <c r="J9" s="63" t="s">
        <v>118</v>
      </c>
      <c r="K9" s="62">
        <v>46273</v>
      </c>
      <c r="L9" s="62">
        <v>46280</v>
      </c>
      <c r="M9" s="62">
        <v>46295</v>
      </c>
      <c r="N9" s="62">
        <v>46301</v>
      </c>
      <c r="O9" s="21" t="b">
        <v>0</v>
      </c>
      <c r="P9" s="21" t="b">
        <v>0</v>
      </c>
      <c r="Q9" s="17"/>
      <c r="R9" s="136"/>
      <c r="S9" s="136"/>
    </row>
    <row r="10" spans="1:19" ht="21.4" x14ac:dyDescent="0.3">
      <c r="A10" s="23" t="s">
        <v>127</v>
      </c>
      <c r="B10" s="60" t="s">
        <v>27</v>
      </c>
      <c r="C10" s="53" t="s">
        <v>1264</v>
      </c>
      <c r="D10" s="53" t="s">
        <v>284</v>
      </c>
      <c r="E10" s="53" t="s">
        <v>285</v>
      </c>
      <c r="F10" s="53" t="s">
        <v>286</v>
      </c>
      <c r="G10" s="3">
        <v>7.6999999999999999E-2</v>
      </c>
      <c r="H10" s="57">
        <v>46254</v>
      </c>
      <c r="I10" s="21" t="b">
        <v>1</v>
      </c>
      <c r="J10" s="63" t="s">
        <v>121</v>
      </c>
      <c r="K10" s="62">
        <v>46213</v>
      </c>
      <c r="L10" s="62">
        <v>46220</v>
      </c>
      <c r="M10" s="62">
        <v>46234</v>
      </c>
      <c r="N10" s="62">
        <v>46240</v>
      </c>
      <c r="O10" s="21" t="b">
        <v>0</v>
      </c>
      <c r="P10" s="21" t="b">
        <v>0</v>
      </c>
      <c r="Q10" s="17"/>
      <c r="R10" s="136"/>
      <c r="S10" s="136"/>
    </row>
    <row r="11" spans="1:19" ht="21.4" x14ac:dyDescent="0.3">
      <c r="A11" s="23" t="s">
        <v>150</v>
      </c>
      <c r="B11" s="61" t="s">
        <v>19</v>
      </c>
      <c r="C11" s="53" t="s">
        <v>1271</v>
      </c>
      <c r="D11" s="53" t="s">
        <v>284</v>
      </c>
      <c r="E11" s="53" t="s">
        <v>285</v>
      </c>
      <c r="F11" s="53" t="s">
        <v>286</v>
      </c>
      <c r="G11" s="3">
        <v>9.0999999999999998E-2</v>
      </c>
      <c r="H11" s="57">
        <v>46254</v>
      </c>
      <c r="I11" s="21" t="b">
        <v>1</v>
      </c>
      <c r="J11" s="63" t="s">
        <v>118</v>
      </c>
      <c r="K11" s="62">
        <v>46273</v>
      </c>
      <c r="L11" s="62">
        <v>46280</v>
      </c>
      <c r="M11" s="62">
        <v>46295</v>
      </c>
      <c r="N11" s="62">
        <v>46301</v>
      </c>
      <c r="O11" s="21" t="b">
        <v>0</v>
      </c>
      <c r="P11" s="21" t="b">
        <v>0</v>
      </c>
      <c r="Q11" s="17"/>
      <c r="R11" s="136"/>
      <c r="S11" s="136"/>
    </row>
    <row r="12" spans="1:19" ht="21.4" x14ac:dyDescent="0.3">
      <c r="A12" s="23" t="s">
        <v>152</v>
      </c>
      <c r="B12" s="60" t="s">
        <v>27</v>
      </c>
      <c r="C12" s="53" t="s">
        <v>1265</v>
      </c>
      <c r="D12" s="53" t="s">
        <v>284</v>
      </c>
      <c r="E12" s="53" t="s">
        <v>285</v>
      </c>
      <c r="F12" s="53" t="s">
        <v>286</v>
      </c>
      <c r="G12" s="3">
        <v>9.0999999999999998E-2</v>
      </c>
      <c r="H12" s="57">
        <v>46254</v>
      </c>
      <c r="I12" s="21" t="b">
        <v>1</v>
      </c>
      <c r="J12" s="63" t="s">
        <v>121</v>
      </c>
      <c r="K12" s="62">
        <v>46213</v>
      </c>
      <c r="L12" s="62">
        <v>46220</v>
      </c>
      <c r="M12" s="62">
        <v>46234</v>
      </c>
      <c r="N12" s="62">
        <v>46240</v>
      </c>
      <c r="O12" s="21" t="b">
        <v>0</v>
      </c>
      <c r="P12" s="21" t="b">
        <v>0</v>
      </c>
      <c r="Q12" s="17"/>
      <c r="R12" s="136"/>
      <c r="S12" s="136"/>
    </row>
    <row r="13" spans="1:19" ht="21.4" x14ac:dyDescent="0.3">
      <c r="A13" s="23" t="s">
        <v>153</v>
      </c>
      <c r="B13" s="61" t="s">
        <v>19</v>
      </c>
      <c r="C13" s="53" t="s">
        <v>1267</v>
      </c>
      <c r="D13" s="53" t="s">
        <v>284</v>
      </c>
      <c r="E13" s="53" t="s">
        <v>285</v>
      </c>
      <c r="F13" s="53" t="s">
        <v>286</v>
      </c>
      <c r="G13" s="3">
        <v>8.3000000000000004E-2</v>
      </c>
      <c r="H13" s="57">
        <v>46254</v>
      </c>
      <c r="I13" s="21" t="b">
        <v>1</v>
      </c>
      <c r="J13" s="63" t="s">
        <v>118</v>
      </c>
      <c r="K13" s="62">
        <v>46273</v>
      </c>
      <c r="L13" s="62">
        <v>46280</v>
      </c>
      <c r="M13" s="62">
        <v>46295</v>
      </c>
      <c r="N13" s="62">
        <v>46301</v>
      </c>
      <c r="O13" s="21" t="b">
        <v>0</v>
      </c>
      <c r="P13" s="21" t="b">
        <v>0</v>
      </c>
      <c r="Q13" s="17"/>
      <c r="R13" s="136"/>
      <c r="S13" s="136"/>
    </row>
    <row r="14" spans="1:19" ht="21.4" x14ac:dyDescent="0.3">
      <c r="A14" s="23" t="s">
        <v>154</v>
      </c>
      <c r="B14" s="60" t="s">
        <v>27</v>
      </c>
      <c r="C14" s="53" t="s">
        <v>1263</v>
      </c>
      <c r="D14" s="53" t="s">
        <v>284</v>
      </c>
      <c r="E14" s="53" t="s">
        <v>285</v>
      </c>
      <c r="F14" s="53" t="s">
        <v>286</v>
      </c>
      <c r="G14" s="3">
        <v>8.4000000000000005E-2</v>
      </c>
      <c r="H14" s="57">
        <v>46254</v>
      </c>
      <c r="I14" s="21" t="b">
        <v>1</v>
      </c>
      <c r="J14" s="63" t="s">
        <v>121</v>
      </c>
      <c r="K14" s="62">
        <v>46213</v>
      </c>
      <c r="L14" s="62">
        <v>46220</v>
      </c>
      <c r="M14" s="62">
        <v>46234</v>
      </c>
      <c r="N14" s="62">
        <v>46240</v>
      </c>
      <c r="O14" s="21" t="b">
        <v>0</v>
      </c>
      <c r="P14" s="21" t="b">
        <v>0</v>
      </c>
      <c r="Q14" s="17"/>
      <c r="R14" s="136"/>
      <c r="S14" s="136"/>
    </row>
    <row r="15" spans="1:19" ht="21.4" x14ac:dyDescent="0.3">
      <c r="A15" s="23" t="s">
        <v>155</v>
      </c>
      <c r="B15" s="61" t="s">
        <v>19</v>
      </c>
      <c r="C15" s="53" t="s">
        <v>1266</v>
      </c>
      <c r="D15" s="53" t="s">
        <v>284</v>
      </c>
      <c r="E15" s="53" t="s">
        <v>285</v>
      </c>
      <c r="F15" s="53" t="s">
        <v>286</v>
      </c>
      <c r="G15" s="3">
        <v>7.5999999999999998E-2</v>
      </c>
      <c r="H15" s="57">
        <v>46254</v>
      </c>
      <c r="I15" s="21" t="b">
        <v>1</v>
      </c>
      <c r="J15" s="63" t="s">
        <v>118</v>
      </c>
      <c r="K15" s="62">
        <v>46273</v>
      </c>
      <c r="L15" s="62">
        <v>46280</v>
      </c>
      <c r="M15" s="62">
        <v>46295</v>
      </c>
      <c r="N15" s="62">
        <v>46301</v>
      </c>
      <c r="O15" s="21" t="b">
        <v>0</v>
      </c>
      <c r="P15" s="21" t="b">
        <v>0</v>
      </c>
      <c r="Q15" s="17"/>
      <c r="R15" s="136"/>
      <c r="S15" s="136"/>
    </row>
    <row r="16" spans="1:19" ht="21.4" x14ac:dyDescent="0.3">
      <c r="A16" s="23" t="s">
        <v>156</v>
      </c>
      <c r="B16" s="60" t="s">
        <v>27</v>
      </c>
      <c r="C16" s="53" t="s">
        <v>1262</v>
      </c>
      <c r="D16" s="53" t="s">
        <v>284</v>
      </c>
      <c r="E16" s="53" t="s">
        <v>285</v>
      </c>
      <c r="F16" s="53" t="s">
        <v>286</v>
      </c>
      <c r="G16" s="3">
        <v>8.6999999999999994E-2</v>
      </c>
      <c r="H16" s="57">
        <v>46254</v>
      </c>
      <c r="I16" s="21" t="b">
        <v>1</v>
      </c>
      <c r="J16" s="63" t="s">
        <v>121</v>
      </c>
      <c r="K16" s="62">
        <v>46213</v>
      </c>
      <c r="L16" s="62">
        <v>46220</v>
      </c>
      <c r="M16" s="62">
        <v>46234</v>
      </c>
      <c r="N16" s="62">
        <v>46240</v>
      </c>
      <c r="O16" s="21" t="b">
        <v>0</v>
      </c>
      <c r="P16" s="21" t="b">
        <v>0</v>
      </c>
      <c r="Q16" s="17"/>
      <c r="R16" s="136"/>
      <c r="S16" s="136"/>
    </row>
    <row r="17" spans="1:19" ht="21.4" x14ac:dyDescent="0.3">
      <c r="A17" s="23" t="s">
        <v>157</v>
      </c>
      <c r="B17" s="61" t="s">
        <v>19</v>
      </c>
      <c r="C17" s="53" t="s">
        <v>1260</v>
      </c>
      <c r="D17" s="53" t="s">
        <v>284</v>
      </c>
      <c r="E17" s="53" t="s">
        <v>285</v>
      </c>
      <c r="F17" s="53" t="s">
        <v>286</v>
      </c>
      <c r="G17" s="3">
        <v>8.3000000000000004E-2</v>
      </c>
      <c r="H17" s="57">
        <v>46254</v>
      </c>
      <c r="I17" s="21" t="b">
        <v>1</v>
      </c>
      <c r="J17" s="63" t="s">
        <v>118</v>
      </c>
      <c r="K17" s="62">
        <v>46273</v>
      </c>
      <c r="L17" s="62">
        <v>46280</v>
      </c>
      <c r="M17" s="62">
        <v>46295</v>
      </c>
      <c r="N17" s="62">
        <v>46301</v>
      </c>
      <c r="O17" s="21" t="b">
        <v>0</v>
      </c>
      <c r="P17" s="21" t="b">
        <v>0</v>
      </c>
      <c r="Q17" s="17"/>
      <c r="R17" s="136"/>
      <c r="S17" s="136"/>
    </row>
    <row r="18" spans="1:19" ht="21.4" x14ac:dyDescent="0.3">
      <c r="A18" s="23" t="s">
        <v>158</v>
      </c>
      <c r="B18" s="60" t="s">
        <v>27</v>
      </c>
      <c r="C18" s="53" t="s">
        <v>1258</v>
      </c>
      <c r="D18" s="53" t="s">
        <v>284</v>
      </c>
      <c r="E18" s="53" t="s">
        <v>285</v>
      </c>
      <c r="F18" s="53" t="s">
        <v>286</v>
      </c>
      <c r="G18" s="3">
        <v>9.8000000000000004E-2</v>
      </c>
      <c r="H18" s="57">
        <v>46254</v>
      </c>
      <c r="I18" s="21" t="b">
        <v>1</v>
      </c>
      <c r="J18" s="63" t="s">
        <v>159</v>
      </c>
      <c r="K18" s="62">
        <v>46197</v>
      </c>
      <c r="L18" s="62">
        <v>46204</v>
      </c>
      <c r="M18" s="62">
        <v>46218</v>
      </c>
      <c r="N18" s="62">
        <v>46224</v>
      </c>
      <c r="O18" s="21" t="b">
        <v>0</v>
      </c>
      <c r="P18" s="21" t="b">
        <v>0</v>
      </c>
      <c r="Q18" s="17"/>
      <c r="R18" s="136"/>
      <c r="S18" s="136"/>
    </row>
    <row r="19" spans="1:19" ht="21.4" x14ac:dyDescent="0.3">
      <c r="A19" s="23" t="s">
        <v>160</v>
      </c>
      <c r="B19" s="61" t="s">
        <v>19</v>
      </c>
      <c r="C19" s="53" t="s">
        <v>1259</v>
      </c>
      <c r="D19" s="53" t="s">
        <v>284</v>
      </c>
      <c r="E19" s="53" t="s">
        <v>285</v>
      </c>
      <c r="F19" s="53" t="s">
        <v>286</v>
      </c>
      <c r="G19" s="3">
        <v>9.9000000000000005E-2</v>
      </c>
      <c r="H19" s="57">
        <v>46254</v>
      </c>
      <c r="I19" s="21" t="b">
        <v>1</v>
      </c>
      <c r="J19" s="63" t="s">
        <v>118</v>
      </c>
      <c r="K19" s="62">
        <v>46273</v>
      </c>
      <c r="L19" s="62">
        <v>46280</v>
      </c>
      <c r="M19" s="62">
        <v>46295</v>
      </c>
      <c r="N19" s="62">
        <v>46301</v>
      </c>
      <c r="O19" s="21" t="b">
        <v>0</v>
      </c>
      <c r="P19" s="21" t="b">
        <v>0</v>
      </c>
      <c r="Q19" s="17"/>
      <c r="R19" s="136"/>
      <c r="S19" s="136"/>
    </row>
    <row r="20" spans="1:19" ht="21.4" x14ac:dyDescent="0.3">
      <c r="A20" s="23" t="s">
        <v>181</v>
      </c>
      <c r="B20" s="60" t="s">
        <v>27</v>
      </c>
      <c r="C20" s="53" t="s">
        <v>1257</v>
      </c>
      <c r="D20" s="53" t="s">
        <v>284</v>
      </c>
      <c r="E20" s="53" t="s">
        <v>285</v>
      </c>
      <c r="F20" s="53" t="s">
        <v>286</v>
      </c>
      <c r="G20" s="3">
        <v>9.0999999999999998E-2</v>
      </c>
      <c r="H20" s="57">
        <v>46254</v>
      </c>
      <c r="I20" s="21" t="b">
        <v>1</v>
      </c>
      <c r="J20" s="63" t="s">
        <v>159</v>
      </c>
      <c r="K20" s="62">
        <v>46197</v>
      </c>
      <c r="L20" s="62">
        <v>46204</v>
      </c>
      <c r="M20" s="62">
        <v>46218</v>
      </c>
      <c r="N20" s="62">
        <v>46224</v>
      </c>
      <c r="O20" s="21" t="b">
        <v>0</v>
      </c>
      <c r="P20" s="21" t="b">
        <v>0</v>
      </c>
      <c r="Q20" s="17"/>
      <c r="R20" s="136"/>
      <c r="S20" s="136"/>
    </row>
    <row r="21" spans="1:19" ht="21.4" x14ac:dyDescent="0.3">
      <c r="A21" s="23" t="s">
        <v>183</v>
      </c>
      <c r="B21" s="61" t="s">
        <v>19</v>
      </c>
      <c r="C21" s="53" t="s">
        <v>1256</v>
      </c>
      <c r="D21" s="53" t="s">
        <v>284</v>
      </c>
      <c r="E21" s="53" t="s">
        <v>285</v>
      </c>
      <c r="F21" s="53" t="s">
        <v>286</v>
      </c>
      <c r="G21" s="3">
        <v>9.2999999999999999E-2</v>
      </c>
      <c r="H21" s="57">
        <v>46254</v>
      </c>
      <c r="I21" s="21" t="b">
        <v>1</v>
      </c>
      <c r="J21" s="63" t="s">
        <v>184</v>
      </c>
      <c r="K21" s="62">
        <v>46259</v>
      </c>
      <c r="L21" s="62">
        <v>46266</v>
      </c>
      <c r="M21" s="62">
        <v>46280</v>
      </c>
      <c r="N21" s="62">
        <v>46286</v>
      </c>
      <c r="O21" s="21" t="b">
        <v>0</v>
      </c>
      <c r="P21" s="21" t="b">
        <v>0</v>
      </c>
      <c r="Q21" s="17"/>
      <c r="R21" s="136"/>
      <c r="S21" s="136"/>
    </row>
    <row r="22" spans="1:19" ht="21.4" x14ac:dyDescent="0.3">
      <c r="A22" s="23" t="s">
        <v>185</v>
      </c>
      <c r="B22" s="60" t="s">
        <v>27</v>
      </c>
      <c r="C22" s="53" t="s">
        <v>1245</v>
      </c>
      <c r="D22" s="53" t="s">
        <v>353</v>
      </c>
      <c r="E22" s="53" t="s">
        <v>354</v>
      </c>
      <c r="F22" s="53" t="s">
        <v>286</v>
      </c>
      <c r="G22" s="3">
        <v>0.11799999999999999</v>
      </c>
      <c r="H22" s="57">
        <v>46248</v>
      </c>
      <c r="I22" s="21" t="b">
        <v>1</v>
      </c>
      <c r="J22" s="63" t="s">
        <v>159</v>
      </c>
      <c r="K22" s="62">
        <v>46197</v>
      </c>
      <c r="L22" s="62">
        <v>46204</v>
      </c>
      <c r="M22" s="62">
        <v>46218</v>
      </c>
      <c r="N22" s="62">
        <v>46224</v>
      </c>
      <c r="O22" s="21" t="b">
        <v>0</v>
      </c>
      <c r="P22" s="21" t="b">
        <v>0</v>
      </c>
      <c r="Q22" s="17"/>
      <c r="R22" s="136"/>
      <c r="S22" s="136"/>
    </row>
    <row r="23" spans="1:19" ht="21.4" x14ac:dyDescent="0.3">
      <c r="A23" s="23" t="s">
        <v>186</v>
      </c>
      <c r="B23" s="61" t="s">
        <v>19</v>
      </c>
      <c r="C23" s="53" t="s">
        <v>1255</v>
      </c>
      <c r="D23" s="53" t="s">
        <v>284</v>
      </c>
      <c r="E23" s="53" t="s">
        <v>285</v>
      </c>
      <c r="F23" s="53" t="s">
        <v>286</v>
      </c>
      <c r="G23" s="3">
        <v>9.1999999999999998E-2</v>
      </c>
      <c r="H23" s="57">
        <v>46254</v>
      </c>
      <c r="I23" s="21" t="b">
        <v>1</v>
      </c>
      <c r="J23" s="63" t="s">
        <v>184</v>
      </c>
      <c r="K23" s="62">
        <v>46259</v>
      </c>
      <c r="L23" s="62">
        <v>46266</v>
      </c>
      <c r="M23" s="62">
        <v>46280</v>
      </c>
      <c r="N23" s="62">
        <v>46286</v>
      </c>
      <c r="O23" s="21" t="b">
        <v>0</v>
      </c>
      <c r="P23" s="21" t="b">
        <v>0</v>
      </c>
      <c r="Q23" s="17"/>
      <c r="R23" s="136"/>
      <c r="S23" s="136"/>
    </row>
    <row r="24" spans="1:19" ht="21.4" x14ac:dyDescent="0.3">
      <c r="A24" s="23" t="s">
        <v>187</v>
      </c>
      <c r="B24" s="60" t="s">
        <v>27</v>
      </c>
      <c r="C24" s="53" t="s">
        <v>1244</v>
      </c>
      <c r="D24" s="53" t="s">
        <v>353</v>
      </c>
      <c r="E24" s="53" t="s">
        <v>354</v>
      </c>
      <c r="F24" s="53" t="s">
        <v>286</v>
      </c>
      <c r="G24" s="3">
        <v>0.151</v>
      </c>
      <c r="H24" s="57">
        <v>46248</v>
      </c>
      <c r="I24" s="21" t="b">
        <v>1</v>
      </c>
      <c r="J24" s="63" t="s">
        <v>159</v>
      </c>
      <c r="K24" s="62">
        <v>46197</v>
      </c>
      <c r="L24" s="62">
        <v>46204</v>
      </c>
      <c r="M24" s="62">
        <v>46218</v>
      </c>
      <c r="N24" s="62">
        <v>46224</v>
      </c>
      <c r="O24" s="21" t="b">
        <v>0</v>
      </c>
      <c r="P24" s="21" t="b">
        <v>0</v>
      </c>
      <c r="Q24" s="17"/>
      <c r="R24" s="136"/>
      <c r="S24" s="136"/>
    </row>
    <row r="25" spans="1:19" ht="21.4" x14ac:dyDescent="0.3">
      <c r="A25" s="23" t="s">
        <v>188</v>
      </c>
      <c r="B25" s="61" t="s">
        <v>19</v>
      </c>
      <c r="C25" s="53" t="s">
        <v>1254</v>
      </c>
      <c r="D25" s="53" t="s">
        <v>284</v>
      </c>
      <c r="E25" s="53" t="s">
        <v>285</v>
      </c>
      <c r="F25" s="53" t="s">
        <v>286</v>
      </c>
      <c r="G25" s="3">
        <v>0.09</v>
      </c>
      <c r="H25" s="57">
        <v>46254</v>
      </c>
      <c r="I25" s="21" t="b">
        <v>1</v>
      </c>
      <c r="J25" s="63" t="s">
        <v>184</v>
      </c>
      <c r="K25" s="62">
        <v>46259</v>
      </c>
      <c r="L25" s="62">
        <v>46266</v>
      </c>
      <c r="M25" s="62">
        <v>46280</v>
      </c>
      <c r="N25" s="62">
        <v>46286</v>
      </c>
      <c r="O25" s="21" t="b">
        <v>0</v>
      </c>
      <c r="P25" s="21" t="b">
        <v>0</v>
      </c>
      <c r="Q25" s="17"/>
      <c r="R25" s="136"/>
      <c r="S25" s="136"/>
    </row>
    <row r="26" spans="1:19" ht="21.4" x14ac:dyDescent="0.3">
      <c r="A26" s="23" t="s">
        <v>203</v>
      </c>
      <c r="B26" s="60" t="s">
        <v>27</v>
      </c>
      <c r="C26" s="53" t="s">
        <v>1246</v>
      </c>
      <c r="D26" s="53" t="s">
        <v>353</v>
      </c>
      <c r="E26" s="53" t="s">
        <v>354</v>
      </c>
      <c r="F26" s="53" t="s">
        <v>286</v>
      </c>
      <c r="G26" s="3">
        <v>0.11700000000000001</v>
      </c>
      <c r="H26" s="57">
        <v>46252</v>
      </c>
      <c r="I26" s="21" t="b">
        <v>1</v>
      </c>
      <c r="J26" s="63" t="s">
        <v>159</v>
      </c>
      <c r="K26" s="62">
        <v>46197</v>
      </c>
      <c r="L26" s="62">
        <v>46204</v>
      </c>
      <c r="M26" s="62">
        <v>46218</v>
      </c>
      <c r="N26" s="62">
        <v>46224</v>
      </c>
      <c r="O26" s="21" t="b">
        <v>0</v>
      </c>
      <c r="P26" s="21" t="b">
        <v>0</v>
      </c>
      <c r="Q26" s="17"/>
      <c r="R26" s="136"/>
      <c r="S26" s="136"/>
    </row>
    <row r="27" spans="1:19" ht="21.4" x14ac:dyDescent="0.3">
      <c r="A27" s="23" t="s">
        <v>205</v>
      </c>
      <c r="B27" s="61" t="s">
        <v>19</v>
      </c>
      <c r="C27" s="53" t="s">
        <v>1248</v>
      </c>
      <c r="D27" s="53" t="s">
        <v>353</v>
      </c>
      <c r="E27" s="53" t="s">
        <v>354</v>
      </c>
      <c r="F27" s="53" t="s">
        <v>286</v>
      </c>
      <c r="G27" s="3">
        <v>0.11700000000000001</v>
      </c>
      <c r="H27" s="57">
        <v>46252</v>
      </c>
      <c r="I27" s="21" t="b">
        <v>1</v>
      </c>
      <c r="J27" s="63" t="s">
        <v>184</v>
      </c>
      <c r="K27" s="62">
        <v>46259</v>
      </c>
      <c r="L27" s="62">
        <v>46266</v>
      </c>
      <c r="M27" s="62">
        <v>46280</v>
      </c>
      <c r="N27" s="62">
        <v>46286</v>
      </c>
      <c r="O27" s="21" t="b">
        <v>0</v>
      </c>
      <c r="P27" s="21" t="b">
        <v>0</v>
      </c>
      <c r="Q27" s="17"/>
      <c r="R27" s="136"/>
      <c r="S27" s="136"/>
    </row>
    <row r="28" spans="1:19" ht="21.4" x14ac:dyDescent="0.3">
      <c r="A28" s="23" t="s">
        <v>206</v>
      </c>
      <c r="B28" s="60" t="s">
        <v>27</v>
      </c>
      <c r="C28" s="53" t="s">
        <v>1247</v>
      </c>
      <c r="D28" s="53" t="s">
        <v>353</v>
      </c>
      <c r="E28" s="53" t="s">
        <v>354</v>
      </c>
      <c r="F28" s="53" t="s">
        <v>286</v>
      </c>
      <c r="G28" s="3">
        <v>0.11700000000000001</v>
      </c>
      <c r="H28" s="57">
        <v>46252</v>
      </c>
      <c r="I28" s="21" t="b">
        <v>1</v>
      </c>
      <c r="J28" s="63" t="s">
        <v>159</v>
      </c>
      <c r="K28" s="62">
        <v>46197</v>
      </c>
      <c r="L28" s="62">
        <v>46204</v>
      </c>
      <c r="M28" s="62">
        <v>46218</v>
      </c>
      <c r="N28" s="62">
        <v>46224</v>
      </c>
      <c r="O28" s="21" t="b">
        <v>0</v>
      </c>
      <c r="P28" s="21" t="b">
        <v>0</v>
      </c>
      <c r="Q28" s="17"/>
      <c r="R28" s="136"/>
      <c r="S28" s="136"/>
    </row>
    <row r="29" spans="1:19" ht="21.4" x14ac:dyDescent="0.3">
      <c r="A29" s="23" t="s">
        <v>207</v>
      </c>
      <c r="B29" s="61" t="s">
        <v>19</v>
      </c>
      <c r="C29" s="53" t="s">
        <v>1253</v>
      </c>
      <c r="D29" s="53" t="s">
        <v>284</v>
      </c>
      <c r="E29" s="53" t="s">
        <v>285</v>
      </c>
      <c r="F29" s="53" t="s">
        <v>286</v>
      </c>
      <c r="G29" s="3">
        <v>0.09</v>
      </c>
      <c r="H29" s="57">
        <v>46254</v>
      </c>
      <c r="I29" s="21" t="b">
        <v>1</v>
      </c>
      <c r="J29" s="63" t="s">
        <v>184</v>
      </c>
      <c r="K29" s="62">
        <v>46259</v>
      </c>
      <c r="L29" s="62">
        <v>46266</v>
      </c>
      <c r="M29" s="62">
        <v>46280</v>
      </c>
      <c r="N29" s="62">
        <v>46286</v>
      </c>
      <c r="O29" s="21" t="b">
        <v>0</v>
      </c>
      <c r="P29" s="21" t="b">
        <v>0</v>
      </c>
      <c r="Q29" s="17"/>
      <c r="R29" s="136"/>
      <c r="S29" s="136"/>
    </row>
    <row r="30" spans="1:19" ht="21.4" x14ac:dyDescent="0.3">
      <c r="A30" s="23" t="s">
        <v>208</v>
      </c>
      <c r="B30" s="60" t="s">
        <v>27</v>
      </c>
      <c r="C30" s="53" t="s">
        <v>1251</v>
      </c>
      <c r="D30" s="53" t="s">
        <v>284</v>
      </c>
      <c r="E30" s="53" t="s">
        <v>285</v>
      </c>
      <c r="F30" s="53" t="s">
        <v>286</v>
      </c>
      <c r="G30" s="3">
        <v>9.1999999999999998E-2</v>
      </c>
      <c r="H30" s="57">
        <v>46254</v>
      </c>
      <c r="I30" s="21" t="b">
        <v>1</v>
      </c>
      <c r="J30" s="63" t="s">
        <v>159</v>
      </c>
      <c r="K30" s="62">
        <v>46197</v>
      </c>
      <c r="L30" s="62">
        <v>46204</v>
      </c>
      <c r="M30" s="62">
        <v>46218</v>
      </c>
      <c r="N30" s="62">
        <v>46224</v>
      </c>
      <c r="O30" s="21" t="b">
        <v>0</v>
      </c>
      <c r="P30" s="21" t="b">
        <v>0</v>
      </c>
      <c r="Q30" s="17"/>
      <c r="R30" s="136"/>
      <c r="S30" s="136"/>
    </row>
    <row r="31" spans="1:19" ht="21.4" x14ac:dyDescent="0.3">
      <c r="A31" s="23" t="s">
        <v>209</v>
      </c>
      <c r="B31" s="61" t="s">
        <v>19</v>
      </c>
      <c r="C31" s="53" t="s">
        <v>1252</v>
      </c>
      <c r="D31" s="53" t="s">
        <v>284</v>
      </c>
      <c r="E31" s="53" t="s">
        <v>285</v>
      </c>
      <c r="F31" s="53" t="s">
        <v>286</v>
      </c>
      <c r="G31" s="3">
        <v>8.5999999999999993E-2</v>
      </c>
      <c r="H31" s="57">
        <v>46254</v>
      </c>
      <c r="I31" s="21" t="b">
        <v>1</v>
      </c>
      <c r="J31" s="63" t="s">
        <v>184</v>
      </c>
      <c r="K31" s="62">
        <v>46259</v>
      </c>
      <c r="L31" s="62">
        <v>46266</v>
      </c>
      <c r="M31" s="62">
        <v>46280</v>
      </c>
      <c r="N31" s="62">
        <v>46286</v>
      </c>
      <c r="O31" s="21" t="b">
        <v>0</v>
      </c>
      <c r="P31" s="21" t="b">
        <v>0</v>
      </c>
      <c r="Q31" s="17"/>
      <c r="R31" s="136"/>
      <c r="S31" s="136"/>
    </row>
    <row r="32" spans="1:19" ht="21.4" x14ac:dyDescent="0.3">
      <c r="A32" s="23" t="s">
        <v>210</v>
      </c>
      <c r="B32" s="60" t="s">
        <v>27</v>
      </c>
      <c r="C32" s="53" t="s">
        <v>1298</v>
      </c>
      <c r="D32" s="53" t="s">
        <v>284</v>
      </c>
      <c r="E32" s="53" t="s">
        <v>285</v>
      </c>
      <c r="F32" s="53" t="s">
        <v>286</v>
      </c>
      <c r="G32" s="3">
        <v>0.12</v>
      </c>
      <c r="H32" s="57">
        <v>46248</v>
      </c>
      <c r="I32" s="21" t="b">
        <v>0</v>
      </c>
      <c r="J32" s="63" t="s">
        <v>159</v>
      </c>
      <c r="K32" s="62">
        <v>46197</v>
      </c>
      <c r="L32" s="62">
        <v>46204</v>
      </c>
      <c r="M32" s="62">
        <v>46218</v>
      </c>
      <c r="N32" s="62">
        <v>46224</v>
      </c>
      <c r="O32" s="21" t="b">
        <v>0</v>
      </c>
      <c r="P32" s="21" t="b">
        <v>0</v>
      </c>
      <c r="Q32" s="17"/>
      <c r="R32" s="136"/>
      <c r="S32" s="136"/>
    </row>
    <row r="33" spans="1:19" ht="21.4" x14ac:dyDescent="0.3">
      <c r="A33" s="23" t="s">
        <v>211</v>
      </c>
      <c r="B33" s="61" t="s">
        <v>19</v>
      </c>
      <c r="C33" s="53" t="s">
        <v>1237</v>
      </c>
      <c r="D33" s="53" t="s">
        <v>353</v>
      </c>
      <c r="E33" s="53" t="s">
        <v>354</v>
      </c>
      <c r="F33" s="53" t="s">
        <v>286</v>
      </c>
      <c r="G33" s="3">
        <v>0.151</v>
      </c>
      <c r="H33" s="57">
        <v>46248</v>
      </c>
      <c r="I33" s="21" t="b">
        <v>1</v>
      </c>
      <c r="J33" s="63" t="s">
        <v>184</v>
      </c>
      <c r="K33" s="62">
        <v>46259</v>
      </c>
      <c r="L33" s="62">
        <v>46266</v>
      </c>
      <c r="M33" s="62">
        <v>46280</v>
      </c>
      <c r="N33" s="62">
        <v>46286</v>
      </c>
      <c r="O33" s="21" t="b">
        <v>0</v>
      </c>
      <c r="P33" s="21" t="b">
        <v>0</v>
      </c>
      <c r="Q33" s="17"/>
      <c r="R33" s="136"/>
      <c r="S33" s="136"/>
    </row>
    <row r="34" spans="1:19" ht="21.4" x14ac:dyDescent="0.3">
      <c r="A34" s="23" t="s">
        <v>212</v>
      </c>
      <c r="B34" s="61" t="s">
        <v>19</v>
      </c>
      <c r="C34" s="53" t="s">
        <v>1236</v>
      </c>
      <c r="D34" s="53" t="s">
        <v>353</v>
      </c>
      <c r="E34" s="53" t="s">
        <v>354</v>
      </c>
      <c r="F34" s="53" t="s">
        <v>286</v>
      </c>
      <c r="G34" s="3">
        <v>0.12</v>
      </c>
      <c r="H34" s="57">
        <v>46248</v>
      </c>
      <c r="I34" s="21" t="b">
        <v>1</v>
      </c>
      <c r="J34" s="63" t="s">
        <v>184</v>
      </c>
      <c r="K34" s="62">
        <v>46259</v>
      </c>
      <c r="L34" s="62">
        <v>46266</v>
      </c>
      <c r="M34" s="62">
        <v>46280</v>
      </c>
      <c r="N34" s="62">
        <v>46286</v>
      </c>
      <c r="O34" s="21" t="b">
        <v>0</v>
      </c>
      <c r="P34" s="21" t="b">
        <v>0</v>
      </c>
      <c r="Q34" s="17"/>
      <c r="R34" s="136"/>
      <c r="S34" s="136"/>
    </row>
    <row r="35" spans="1:19" ht="21.4" x14ac:dyDescent="0.3">
      <c r="A35" s="23" t="s">
        <v>233</v>
      </c>
      <c r="B35" s="61" t="s">
        <v>19</v>
      </c>
      <c r="C35" s="53" t="s">
        <v>287</v>
      </c>
      <c r="D35" s="53" t="s">
        <v>284</v>
      </c>
      <c r="E35" s="53" t="s">
        <v>285</v>
      </c>
      <c r="F35" s="53" t="s">
        <v>286</v>
      </c>
      <c r="G35" s="3">
        <v>8.2000000000000003E-2</v>
      </c>
      <c r="H35" s="57">
        <v>46205</v>
      </c>
      <c r="I35" s="21" t="b">
        <v>1</v>
      </c>
      <c r="J35" s="63" t="s">
        <v>235</v>
      </c>
      <c r="K35" s="62">
        <v>46195</v>
      </c>
      <c r="L35" s="62">
        <v>46202</v>
      </c>
      <c r="M35" s="62">
        <v>46221</v>
      </c>
      <c r="N35" s="62">
        <v>46221</v>
      </c>
      <c r="O35" s="21" t="b">
        <v>0</v>
      </c>
      <c r="P35" s="21" t="b">
        <v>0</v>
      </c>
      <c r="Q35" s="17"/>
      <c r="R35" s="136"/>
      <c r="S35" s="136"/>
    </row>
    <row r="36" spans="1:19" ht="21.4" x14ac:dyDescent="0.3">
      <c r="A36" s="23" t="s">
        <v>236</v>
      </c>
      <c r="B36" s="60" t="s">
        <v>27</v>
      </c>
      <c r="C36" s="53" t="s">
        <v>288</v>
      </c>
      <c r="D36" s="53" t="s">
        <v>284</v>
      </c>
      <c r="E36" s="53" t="s">
        <v>285</v>
      </c>
      <c r="F36" s="53" t="s">
        <v>286</v>
      </c>
      <c r="G36" s="3">
        <v>9.0999999999999998E-2</v>
      </c>
      <c r="H36" s="57">
        <v>46205</v>
      </c>
      <c r="I36" s="21" t="b">
        <v>1</v>
      </c>
      <c r="J36" s="63" t="s">
        <v>237</v>
      </c>
      <c r="K36" s="62">
        <v>46179</v>
      </c>
      <c r="L36" s="62">
        <v>46186</v>
      </c>
      <c r="M36" s="62">
        <v>46202</v>
      </c>
      <c r="N36" s="62">
        <v>46207</v>
      </c>
      <c r="O36" s="21" t="b">
        <v>0</v>
      </c>
      <c r="P36" s="21" t="b">
        <v>0</v>
      </c>
      <c r="Q36" s="17"/>
      <c r="R36" s="136"/>
      <c r="S36" s="136"/>
    </row>
    <row r="37" spans="1:19" ht="21.4" x14ac:dyDescent="0.3">
      <c r="A37" s="23" t="s">
        <v>238</v>
      </c>
      <c r="B37" s="61" t="s">
        <v>19</v>
      </c>
      <c r="C37" s="53" t="s">
        <v>289</v>
      </c>
      <c r="D37" s="53" t="s">
        <v>284</v>
      </c>
      <c r="E37" s="53" t="s">
        <v>285</v>
      </c>
      <c r="F37" s="53" t="s">
        <v>286</v>
      </c>
      <c r="G37" s="3">
        <v>9.0999999999999998E-2</v>
      </c>
      <c r="H37" s="57">
        <v>46205</v>
      </c>
      <c r="I37" s="21" t="b">
        <v>1</v>
      </c>
      <c r="J37" s="63" t="s">
        <v>235</v>
      </c>
      <c r="K37" s="62">
        <v>46195</v>
      </c>
      <c r="L37" s="62">
        <v>46202</v>
      </c>
      <c r="M37" s="62">
        <v>46221</v>
      </c>
      <c r="N37" s="62">
        <v>46221</v>
      </c>
      <c r="O37" s="21" t="b">
        <v>0</v>
      </c>
      <c r="P37" s="21" t="b">
        <v>0</v>
      </c>
      <c r="Q37" s="17"/>
      <c r="R37" s="136"/>
      <c r="S37" s="136"/>
    </row>
    <row r="38" spans="1:19" ht="21.4" x14ac:dyDescent="0.3">
      <c r="A38" s="23" t="s">
        <v>239</v>
      </c>
      <c r="B38" s="60" t="s">
        <v>27</v>
      </c>
      <c r="C38" s="53" t="s">
        <v>290</v>
      </c>
      <c r="D38" s="53" t="s">
        <v>284</v>
      </c>
      <c r="E38" s="53" t="s">
        <v>285</v>
      </c>
      <c r="F38" s="53" t="s">
        <v>286</v>
      </c>
      <c r="G38" s="3">
        <v>8.8999999999999996E-2</v>
      </c>
      <c r="H38" s="57">
        <v>46205</v>
      </c>
      <c r="I38" s="21" t="b">
        <v>1</v>
      </c>
      <c r="J38" s="63" t="s">
        <v>237</v>
      </c>
      <c r="K38" s="62">
        <v>46179</v>
      </c>
      <c r="L38" s="62">
        <v>46186</v>
      </c>
      <c r="M38" s="62">
        <v>46202</v>
      </c>
      <c r="N38" s="62">
        <v>46207</v>
      </c>
      <c r="O38" s="21" t="b">
        <v>0</v>
      </c>
      <c r="P38" s="21" t="b">
        <v>0</v>
      </c>
      <c r="Q38" s="17"/>
      <c r="R38" s="136"/>
      <c r="S38" s="136"/>
    </row>
    <row r="39" spans="1:19" ht="21.4" x14ac:dyDescent="0.3">
      <c r="A39" s="23" t="s">
        <v>251</v>
      </c>
      <c r="B39" s="61" t="s">
        <v>19</v>
      </c>
      <c r="C39" s="53" t="s">
        <v>291</v>
      </c>
      <c r="D39" s="53" t="s">
        <v>284</v>
      </c>
      <c r="E39" s="53" t="s">
        <v>285</v>
      </c>
      <c r="F39" s="53" t="s">
        <v>286</v>
      </c>
      <c r="G39" s="3">
        <v>9.0999999999999998E-2</v>
      </c>
      <c r="H39" s="57">
        <v>46205</v>
      </c>
      <c r="I39" s="21" t="b">
        <v>1</v>
      </c>
      <c r="J39" s="63" t="s">
        <v>235</v>
      </c>
      <c r="K39" s="62">
        <v>46195</v>
      </c>
      <c r="L39" s="62">
        <v>46202</v>
      </c>
      <c r="M39" s="62">
        <v>46221</v>
      </c>
      <c r="N39" s="62">
        <v>46221</v>
      </c>
      <c r="O39" s="21" t="b">
        <v>0</v>
      </c>
      <c r="P39" s="21" t="b">
        <v>0</v>
      </c>
      <c r="Q39" s="17"/>
      <c r="R39" s="136"/>
      <c r="S39" s="136"/>
    </row>
    <row r="40" spans="1:19" ht="21.4" x14ac:dyDescent="0.3">
      <c r="A40" s="23" t="s">
        <v>253</v>
      </c>
      <c r="B40" s="60" t="s">
        <v>27</v>
      </c>
      <c r="C40" s="53" t="s">
        <v>1314</v>
      </c>
      <c r="D40" s="53" t="s">
        <v>284</v>
      </c>
      <c r="E40" s="53" t="s">
        <v>285</v>
      </c>
      <c r="F40" s="53" t="s">
        <v>286</v>
      </c>
      <c r="G40" s="3">
        <v>0.12</v>
      </c>
      <c r="H40" s="57">
        <v>46205</v>
      </c>
      <c r="I40" s="21" t="b">
        <v>0</v>
      </c>
      <c r="J40" s="63" t="s">
        <v>237</v>
      </c>
      <c r="K40" s="62">
        <v>46179</v>
      </c>
      <c r="L40" s="62">
        <v>46186</v>
      </c>
      <c r="M40" s="62">
        <v>46202</v>
      </c>
      <c r="N40" s="62">
        <v>46207</v>
      </c>
      <c r="O40" s="21" t="b">
        <v>1</v>
      </c>
      <c r="P40" s="21" t="b">
        <v>1</v>
      </c>
      <c r="Q40" s="57">
        <v>46273</v>
      </c>
      <c r="R40" s="136"/>
      <c r="S40" s="136"/>
    </row>
    <row r="41" spans="1:19" ht="21.4" x14ac:dyDescent="0.3">
      <c r="A41" s="23" t="s">
        <v>254</v>
      </c>
      <c r="B41" s="61" t="s">
        <v>19</v>
      </c>
      <c r="C41" s="53" t="s">
        <v>293</v>
      </c>
      <c r="D41" s="53" t="s">
        <v>284</v>
      </c>
      <c r="E41" s="53" t="s">
        <v>285</v>
      </c>
      <c r="F41" s="53" t="s">
        <v>286</v>
      </c>
      <c r="G41" s="3">
        <v>8.8999999999999996E-2</v>
      </c>
      <c r="H41" s="57">
        <v>46205</v>
      </c>
      <c r="I41" s="21" t="b">
        <v>1</v>
      </c>
      <c r="J41" s="63" t="s">
        <v>235</v>
      </c>
      <c r="K41" s="62">
        <v>46195</v>
      </c>
      <c r="L41" s="62">
        <v>46202</v>
      </c>
      <c r="M41" s="62">
        <v>46221</v>
      </c>
      <c r="N41" s="62">
        <v>46221</v>
      </c>
      <c r="O41" s="21" t="b">
        <v>0</v>
      </c>
      <c r="P41" s="21" t="b">
        <v>0</v>
      </c>
      <c r="Q41" s="17"/>
      <c r="R41" s="136"/>
      <c r="S41" s="136"/>
    </row>
    <row r="42" spans="1:19" ht="21.4" x14ac:dyDescent="0.3">
      <c r="A42" s="23" t="s">
        <v>255</v>
      </c>
      <c r="B42" s="60" t="s">
        <v>27</v>
      </c>
      <c r="C42" s="53" t="s">
        <v>294</v>
      </c>
      <c r="D42" s="53" t="s">
        <v>284</v>
      </c>
      <c r="E42" s="53" t="s">
        <v>285</v>
      </c>
      <c r="F42" s="53" t="s">
        <v>286</v>
      </c>
      <c r="G42" s="3">
        <v>7.5999999999999998E-2</v>
      </c>
      <c r="H42" s="57">
        <v>46205</v>
      </c>
      <c r="I42" s="21" t="b">
        <v>1</v>
      </c>
      <c r="J42" s="63" t="s">
        <v>237</v>
      </c>
      <c r="K42" s="62">
        <v>46179</v>
      </c>
      <c r="L42" s="62">
        <v>46186</v>
      </c>
      <c r="M42" s="62">
        <v>46202</v>
      </c>
      <c r="N42" s="62">
        <v>46207</v>
      </c>
      <c r="O42" s="21" t="b">
        <v>0</v>
      </c>
      <c r="P42" s="21" t="b">
        <v>0</v>
      </c>
      <c r="Q42" s="17"/>
      <c r="R42" s="136"/>
      <c r="S42" s="136"/>
    </row>
    <row r="43" spans="1:19" ht="21.4" x14ac:dyDescent="0.3">
      <c r="A43" s="23" t="s">
        <v>256</v>
      </c>
      <c r="B43" s="61" t="s">
        <v>19</v>
      </c>
      <c r="C43" s="53" t="s">
        <v>295</v>
      </c>
      <c r="D43" s="53" t="s">
        <v>284</v>
      </c>
      <c r="E43" s="53" t="s">
        <v>285</v>
      </c>
      <c r="F43" s="53" t="s">
        <v>286</v>
      </c>
      <c r="G43" s="3">
        <v>0.155</v>
      </c>
      <c r="H43" s="57">
        <v>46205</v>
      </c>
      <c r="I43" s="21" t="b">
        <v>1</v>
      </c>
      <c r="J43" s="63" t="s">
        <v>235</v>
      </c>
      <c r="K43" s="62">
        <v>46195</v>
      </c>
      <c r="L43" s="62">
        <v>46202</v>
      </c>
      <c r="M43" s="62">
        <v>46221</v>
      </c>
      <c r="N43" s="62">
        <v>46221</v>
      </c>
      <c r="O43" s="21" t="b">
        <v>0</v>
      </c>
      <c r="P43" s="21" t="b">
        <v>0</v>
      </c>
      <c r="Q43" s="17"/>
      <c r="R43" s="136"/>
      <c r="S43" s="136"/>
    </row>
    <row r="44" spans="1:19" ht="21.4" x14ac:dyDescent="0.3">
      <c r="A44" s="23" t="s">
        <v>257</v>
      </c>
      <c r="B44" s="60" t="s">
        <v>27</v>
      </c>
      <c r="C44" s="53" t="s">
        <v>296</v>
      </c>
      <c r="D44" s="53" t="s">
        <v>284</v>
      </c>
      <c r="E44" s="53" t="s">
        <v>285</v>
      </c>
      <c r="F44" s="53" t="s">
        <v>286</v>
      </c>
      <c r="G44" s="3">
        <v>7.5999999999999998E-2</v>
      </c>
      <c r="H44" s="57">
        <v>46205</v>
      </c>
      <c r="I44" s="21" t="b">
        <v>1</v>
      </c>
      <c r="J44" s="63" t="s">
        <v>237</v>
      </c>
      <c r="K44" s="62">
        <v>46179</v>
      </c>
      <c r="L44" s="62">
        <v>46186</v>
      </c>
      <c r="M44" s="62">
        <v>46202</v>
      </c>
      <c r="N44" s="62">
        <v>46207</v>
      </c>
      <c r="O44" s="21" t="b">
        <v>0</v>
      </c>
      <c r="P44" s="21" t="b">
        <v>0</v>
      </c>
      <c r="Q44" s="17"/>
      <c r="R44" s="136"/>
      <c r="S44" s="136"/>
    </row>
    <row r="45" spans="1:19" ht="21.4" x14ac:dyDescent="0.3">
      <c r="A45" s="23" t="s">
        <v>258</v>
      </c>
      <c r="B45" s="61" t="s">
        <v>19</v>
      </c>
      <c r="C45" s="53" t="s">
        <v>297</v>
      </c>
      <c r="D45" s="53" t="s">
        <v>284</v>
      </c>
      <c r="E45" s="53" t="s">
        <v>285</v>
      </c>
      <c r="F45" s="53" t="s">
        <v>286</v>
      </c>
      <c r="G45" s="3">
        <v>8.1000000000000003E-2</v>
      </c>
      <c r="H45" s="57">
        <v>46205</v>
      </c>
      <c r="I45" s="21" t="b">
        <v>1</v>
      </c>
      <c r="J45" s="63" t="s">
        <v>235</v>
      </c>
      <c r="K45" s="62">
        <v>46195</v>
      </c>
      <c r="L45" s="62">
        <v>46202</v>
      </c>
      <c r="M45" s="62">
        <v>46221</v>
      </c>
      <c r="N45" s="62">
        <v>46221</v>
      </c>
      <c r="O45" s="21" t="b">
        <v>0</v>
      </c>
      <c r="P45" s="21" t="b">
        <v>0</v>
      </c>
      <c r="Q45" s="17"/>
      <c r="R45" s="136"/>
      <c r="S45" s="136"/>
    </row>
    <row r="46" spans="1:19" ht="21.4" x14ac:dyDescent="0.3">
      <c r="A46" s="23" t="s">
        <v>259</v>
      </c>
      <c r="B46" s="60" t="s">
        <v>27</v>
      </c>
      <c r="C46" s="53" t="s">
        <v>1318</v>
      </c>
      <c r="D46" s="53" t="s">
        <v>284</v>
      </c>
      <c r="E46" s="53" t="s">
        <v>285</v>
      </c>
      <c r="F46" s="53" t="s">
        <v>286</v>
      </c>
      <c r="G46" s="3">
        <v>9.5000000000000001E-2</v>
      </c>
      <c r="H46" s="57">
        <v>46205</v>
      </c>
      <c r="I46" s="21" t="b">
        <v>0</v>
      </c>
      <c r="J46" s="63" t="s">
        <v>28</v>
      </c>
      <c r="K46" s="62">
        <v>46167</v>
      </c>
      <c r="L46" s="62">
        <v>46174</v>
      </c>
      <c r="M46" s="62">
        <v>46188</v>
      </c>
      <c r="N46" s="62">
        <v>46195</v>
      </c>
      <c r="O46" s="21" t="b">
        <v>1</v>
      </c>
      <c r="P46" s="21" t="b">
        <v>1</v>
      </c>
      <c r="Q46" s="57">
        <v>46279</v>
      </c>
      <c r="R46" s="136"/>
      <c r="S46" s="136"/>
    </row>
    <row r="47" spans="1:19" ht="21.4" x14ac:dyDescent="0.3">
      <c r="A47" s="23" t="s">
        <v>18</v>
      </c>
      <c r="B47" s="61" t="s">
        <v>19</v>
      </c>
      <c r="C47" s="53" t="s">
        <v>299</v>
      </c>
      <c r="D47" s="53" t="s">
        <v>284</v>
      </c>
      <c r="E47" s="53" t="s">
        <v>285</v>
      </c>
      <c r="F47" s="53" t="s">
        <v>286</v>
      </c>
      <c r="G47" s="3">
        <v>8.5999999999999993E-2</v>
      </c>
      <c r="H47" s="57">
        <v>46205</v>
      </c>
      <c r="I47" s="21" t="b">
        <v>1</v>
      </c>
      <c r="J47" s="63" t="s">
        <v>25</v>
      </c>
      <c r="K47" s="62">
        <v>46179</v>
      </c>
      <c r="L47" s="62">
        <v>46186</v>
      </c>
      <c r="M47" s="62">
        <v>46202</v>
      </c>
      <c r="N47" s="62">
        <v>46207</v>
      </c>
      <c r="O47" s="21" t="b">
        <v>0</v>
      </c>
      <c r="P47" s="21" t="b">
        <v>0</v>
      </c>
      <c r="Q47" s="17"/>
      <c r="R47" s="136"/>
      <c r="S47" s="136"/>
    </row>
    <row r="48" spans="1:19" ht="21.4" x14ac:dyDescent="0.3">
      <c r="A48" s="23" t="s">
        <v>26</v>
      </c>
      <c r="B48" s="60" t="s">
        <v>27</v>
      </c>
      <c r="C48" s="53" t="s">
        <v>300</v>
      </c>
      <c r="D48" s="53" t="s">
        <v>284</v>
      </c>
      <c r="E48" s="53" t="s">
        <v>285</v>
      </c>
      <c r="F48" s="53" t="s">
        <v>286</v>
      </c>
      <c r="G48" s="3">
        <v>0.154</v>
      </c>
      <c r="H48" s="57">
        <v>46204</v>
      </c>
      <c r="I48" s="21" t="b">
        <v>1</v>
      </c>
      <c r="J48" s="63" t="s">
        <v>28</v>
      </c>
      <c r="K48" s="62">
        <v>46167</v>
      </c>
      <c r="L48" s="62">
        <v>46174</v>
      </c>
      <c r="M48" s="62">
        <v>46188</v>
      </c>
      <c r="N48" s="62">
        <v>46195</v>
      </c>
      <c r="O48" s="21" t="b">
        <v>0</v>
      </c>
      <c r="P48" s="21" t="b">
        <v>0</v>
      </c>
      <c r="Q48" s="17"/>
      <c r="R48" s="136"/>
      <c r="S48" s="136"/>
    </row>
    <row r="49" spans="1:19" ht="21.4" x14ac:dyDescent="0.3">
      <c r="A49" s="23" t="s">
        <v>29</v>
      </c>
      <c r="B49" s="61" t="s">
        <v>19</v>
      </c>
      <c r="C49" s="53" t="s">
        <v>301</v>
      </c>
      <c r="D49" s="53" t="s">
        <v>284</v>
      </c>
      <c r="E49" s="53" t="s">
        <v>285</v>
      </c>
      <c r="F49" s="53" t="s">
        <v>286</v>
      </c>
      <c r="G49" s="3">
        <v>8.1000000000000003E-2</v>
      </c>
      <c r="H49" s="57">
        <v>46205</v>
      </c>
      <c r="I49" s="21" t="b">
        <v>1</v>
      </c>
      <c r="J49" s="63" t="s">
        <v>25</v>
      </c>
      <c r="K49" s="62">
        <v>46179</v>
      </c>
      <c r="L49" s="62">
        <v>46186</v>
      </c>
      <c r="M49" s="62">
        <v>46202</v>
      </c>
      <c r="N49" s="62">
        <v>46207</v>
      </c>
      <c r="O49" s="21" t="b">
        <v>0</v>
      </c>
      <c r="P49" s="21" t="b">
        <v>0</v>
      </c>
      <c r="Q49" s="17"/>
      <c r="R49" s="136"/>
      <c r="S49" s="136"/>
    </row>
    <row r="50" spans="1:19" ht="21.4" x14ac:dyDescent="0.3">
      <c r="A50" s="23" t="s">
        <v>31</v>
      </c>
      <c r="B50" s="60" t="s">
        <v>27</v>
      </c>
      <c r="C50" s="53" t="s">
        <v>1315</v>
      </c>
      <c r="D50" s="53" t="s">
        <v>284</v>
      </c>
      <c r="E50" s="53" t="s">
        <v>285</v>
      </c>
      <c r="F50" s="53" t="s">
        <v>286</v>
      </c>
      <c r="G50" s="3">
        <v>0.111</v>
      </c>
      <c r="H50" s="57">
        <v>46204</v>
      </c>
      <c r="I50" s="21" t="b">
        <v>0</v>
      </c>
      <c r="J50" s="63" t="s">
        <v>28</v>
      </c>
      <c r="K50" s="62">
        <v>46167</v>
      </c>
      <c r="L50" s="62">
        <v>46174</v>
      </c>
      <c r="M50" s="62">
        <v>46188</v>
      </c>
      <c r="N50" s="62">
        <v>46195</v>
      </c>
      <c r="O50" s="21" t="b">
        <v>1</v>
      </c>
      <c r="P50" s="21" t="b">
        <v>1</v>
      </c>
      <c r="Q50" s="57">
        <v>46273</v>
      </c>
      <c r="R50" s="136"/>
      <c r="S50" s="136"/>
    </row>
    <row r="51" spans="1:19" ht="21.4" x14ac:dyDescent="0.3">
      <c r="A51" s="23" t="s">
        <v>32</v>
      </c>
      <c r="B51" s="61" t="s">
        <v>19</v>
      </c>
      <c r="C51" s="53" t="s">
        <v>303</v>
      </c>
      <c r="D51" s="53" t="s">
        <v>284</v>
      </c>
      <c r="E51" s="53" t="s">
        <v>285</v>
      </c>
      <c r="F51" s="53" t="s">
        <v>286</v>
      </c>
      <c r="G51" s="3">
        <v>6.6000000000000003E-2</v>
      </c>
      <c r="H51" s="57">
        <v>46205</v>
      </c>
      <c r="I51" s="21" t="b">
        <v>1</v>
      </c>
      <c r="J51" s="63" t="s">
        <v>25</v>
      </c>
      <c r="K51" s="62">
        <v>46179</v>
      </c>
      <c r="L51" s="62">
        <v>46186</v>
      </c>
      <c r="M51" s="62">
        <v>46202</v>
      </c>
      <c r="N51" s="62">
        <v>46207</v>
      </c>
      <c r="O51" s="21" t="b">
        <v>0</v>
      </c>
      <c r="P51" s="21" t="b">
        <v>0</v>
      </c>
      <c r="Q51" s="17"/>
      <c r="R51" s="136"/>
      <c r="S51" s="136"/>
    </row>
    <row r="52" spans="1:19" ht="21.4" x14ac:dyDescent="0.3">
      <c r="A52" s="23" t="s">
        <v>34</v>
      </c>
      <c r="B52" s="60" t="s">
        <v>27</v>
      </c>
      <c r="C52" s="53" t="s">
        <v>304</v>
      </c>
      <c r="D52" s="53" t="s">
        <v>284</v>
      </c>
      <c r="E52" s="53" t="s">
        <v>285</v>
      </c>
      <c r="F52" s="53" t="s">
        <v>286</v>
      </c>
      <c r="G52" s="3">
        <v>8.8999999999999996E-2</v>
      </c>
      <c r="H52" s="57">
        <v>46204</v>
      </c>
      <c r="I52" s="21" t="b">
        <v>1</v>
      </c>
      <c r="J52" s="63" t="s">
        <v>28</v>
      </c>
      <c r="K52" s="62">
        <v>46167</v>
      </c>
      <c r="L52" s="62">
        <v>46174</v>
      </c>
      <c r="M52" s="62">
        <v>46188</v>
      </c>
      <c r="N52" s="62">
        <v>46195</v>
      </c>
      <c r="O52" s="21" t="b">
        <v>0</v>
      </c>
      <c r="P52" s="21" t="b">
        <v>0</v>
      </c>
      <c r="Q52" s="17"/>
      <c r="R52" s="136"/>
      <c r="S52" s="136"/>
    </row>
    <row r="53" spans="1:19" ht="21.4" x14ac:dyDescent="0.3">
      <c r="A53" s="23" t="s">
        <v>189</v>
      </c>
      <c r="B53" s="61" t="s">
        <v>19</v>
      </c>
      <c r="C53" s="53" t="s">
        <v>305</v>
      </c>
      <c r="D53" s="53" t="s">
        <v>284</v>
      </c>
      <c r="E53" s="53" t="s">
        <v>285</v>
      </c>
      <c r="F53" s="53" t="s">
        <v>286</v>
      </c>
      <c r="G53" s="3">
        <v>7.5999999999999998E-2</v>
      </c>
      <c r="H53" s="57">
        <v>46205</v>
      </c>
      <c r="I53" s="21" t="b">
        <v>1</v>
      </c>
      <c r="J53" s="63" t="s">
        <v>25</v>
      </c>
      <c r="K53" s="62">
        <v>46179</v>
      </c>
      <c r="L53" s="62">
        <v>46186</v>
      </c>
      <c r="M53" s="62">
        <v>46202</v>
      </c>
      <c r="N53" s="62">
        <v>46207</v>
      </c>
      <c r="O53" s="21" t="b">
        <v>0</v>
      </c>
      <c r="P53" s="21" t="b">
        <v>0</v>
      </c>
      <c r="Q53" s="17"/>
      <c r="R53" s="136"/>
      <c r="S53" s="136"/>
    </row>
    <row r="54" spans="1:19" ht="21.4" x14ac:dyDescent="0.3">
      <c r="A54" s="23" t="s">
        <v>191</v>
      </c>
      <c r="B54" s="60" t="s">
        <v>27</v>
      </c>
      <c r="C54" s="53" t="s">
        <v>306</v>
      </c>
      <c r="D54" s="53" t="s">
        <v>284</v>
      </c>
      <c r="E54" s="53" t="s">
        <v>285</v>
      </c>
      <c r="F54" s="53" t="s">
        <v>286</v>
      </c>
      <c r="G54" s="3">
        <v>6.7000000000000004E-2</v>
      </c>
      <c r="H54" s="57">
        <v>46204</v>
      </c>
      <c r="I54" s="21" t="b">
        <v>1</v>
      </c>
      <c r="J54" s="63" t="s">
        <v>28</v>
      </c>
      <c r="K54" s="62">
        <v>46167</v>
      </c>
      <c r="L54" s="62">
        <v>46174</v>
      </c>
      <c r="M54" s="62">
        <v>46188</v>
      </c>
      <c r="N54" s="62">
        <v>46195</v>
      </c>
      <c r="O54" s="21" t="b">
        <v>0</v>
      </c>
      <c r="P54" s="21" t="b">
        <v>0</v>
      </c>
      <c r="Q54" s="17"/>
      <c r="R54" s="136"/>
      <c r="S54" s="136"/>
    </row>
    <row r="55" spans="1:19" ht="21.4" x14ac:dyDescent="0.3">
      <c r="A55" s="23" t="s">
        <v>192</v>
      </c>
      <c r="B55" s="61" t="s">
        <v>19</v>
      </c>
      <c r="C55" s="53" t="s">
        <v>307</v>
      </c>
      <c r="D55" s="53" t="s">
        <v>284</v>
      </c>
      <c r="E55" s="53" t="s">
        <v>285</v>
      </c>
      <c r="F55" s="53" t="s">
        <v>286</v>
      </c>
      <c r="G55" s="3">
        <v>7.3999999999999996E-2</v>
      </c>
      <c r="H55" s="57">
        <v>46205</v>
      </c>
      <c r="I55" s="21" t="b">
        <v>1</v>
      </c>
      <c r="J55" s="63" t="s">
        <v>25</v>
      </c>
      <c r="K55" s="62">
        <v>46179</v>
      </c>
      <c r="L55" s="62">
        <v>46186</v>
      </c>
      <c r="M55" s="62">
        <v>46202</v>
      </c>
      <c r="N55" s="62">
        <v>46207</v>
      </c>
      <c r="O55" s="21" t="b">
        <v>0</v>
      </c>
      <c r="P55" s="21" t="b">
        <v>0</v>
      </c>
      <c r="Q55" s="17"/>
      <c r="R55" s="136"/>
      <c r="S55" s="136"/>
    </row>
    <row r="56" spans="1:19" ht="21.4" x14ac:dyDescent="0.3">
      <c r="A56" s="23" t="s">
        <v>193</v>
      </c>
      <c r="B56" s="60" t="s">
        <v>27</v>
      </c>
      <c r="C56" s="53" t="s">
        <v>308</v>
      </c>
      <c r="D56" s="53" t="s">
        <v>284</v>
      </c>
      <c r="E56" s="53" t="s">
        <v>285</v>
      </c>
      <c r="F56" s="53" t="s">
        <v>286</v>
      </c>
      <c r="G56" s="3">
        <v>9.0999999999999998E-2</v>
      </c>
      <c r="H56" s="57">
        <v>46204</v>
      </c>
      <c r="I56" s="21" t="b">
        <v>1</v>
      </c>
      <c r="J56" s="63" t="s">
        <v>28</v>
      </c>
      <c r="K56" s="62">
        <v>46167</v>
      </c>
      <c r="L56" s="62">
        <v>46174</v>
      </c>
      <c r="M56" s="62">
        <v>46188</v>
      </c>
      <c r="N56" s="62">
        <v>46195</v>
      </c>
      <c r="O56" s="21" t="b">
        <v>0</v>
      </c>
      <c r="P56" s="21" t="b">
        <v>0</v>
      </c>
      <c r="Q56" s="17"/>
      <c r="R56" s="136"/>
      <c r="S56" s="136"/>
    </row>
    <row r="57" spans="1:19" ht="21.4" x14ac:dyDescent="0.3">
      <c r="A57" s="23" t="s">
        <v>194</v>
      </c>
      <c r="B57" s="61" t="s">
        <v>19</v>
      </c>
      <c r="C57" s="53" t="s">
        <v>309</v>
      </c>
      <c r="D57" s="53" t="s">
        <v>284</v>
      </c>
      <c r="E57" s="53" t="s">
        <v>285</v>
      </c>
      <c r="F57" s="53" t="s">
        <v>286</v>
      </c>
      <c r="G57" s="3">
        <v>6.0999999999999999E-2</v>
      </c>
      <c r="H57" s="57">
        <v>46205</v>
      </c>
      <c r="I57" s="21" t="b">
        <v>1</v>
      </c>
      <c r="J57" s="63" t="s">
        <v>25</v>
      </c>
      <c r="K57" s="62">
        <v>46179</v>
      </c>
      <c r="L57" s="62">
        <v>46186</v>
      </c>
      <c r="M57" s="62">
        <v>46202</v>
      </c>
      <c r="N57" s="62">
        <v>46207</v>
      </c>
      <c r="O57" s="21" t="b">
        <v>0</v>
      </c>
      <c r="P57" s="21" t="b">
        <v>0</v>
      </c>
      <c r="Q57" s="17"/>
      <c r="R57" s="136"/>
      <c r="S57" s="136"/>
    </row>
    <row r="58" spans="1:19" ht="21.4" x14ac:dyDescent="0.3">
      <c r="A58" s="23" t="s">
        <v>195</v>
      </c>
      <c r="B58" s="60" t="s">
        <v>27</v>
      </c>
      <c r="C58" s="53" t="s">
        <v>310</v>
      </c>
      <c r="D58" s="53" t="s">
        <v>284</v>
      </c>
      <c r="E58" s="53" t="s">
        <v>285</v>
      </c>
      <c r="F58" s="53" t="s">
        <v>286</v>
      </c>
      <c r="G58" s="3">
        <v>7.5999999999999998E-2</v>
      </c>
      <c r="H58" s="57">
        <v>46204</v>
      </c>
      <c r="I58" s="21" t="b">
        <v>1</v>
      </c>
      <c r="J58" s="63" t="s">
        <v>28</v>
      </c>
      <c r="K58" s="62">
        <v>46167</v>
      </c>
      <c r="L58" s="62">
        <v>46174</v>
      </c>
      <c r="M58" s="62">
        <v>46188</v>
      </c>
      <c r="N58" s="62">
        <v>46195</v>
      </c>
      <c r="O58" s="21" t="b">
        <v>0</v>
      </c>
      <c r="P58" s="21" t="b">
        <v>0</v>
      </c>
      <c r="Q58" s="17"/>
      <c r="R58" s="136"/>
      <c r="S58" s="136"/>
    </row>
    <row r="59" spans="1:19" ht="21.4" x14ac:dyDescent="0.3">
      <c r="A59" s="23" t="s">
        <v>161</v>
      </c>
      <c r="B59" s="61" t="s">
        <v>19</v>
      </c>
      <c r="C59" s="53" t="s">
        <v>311</v>
      </c>
      <c r="D59" s="53" t="s">
        <v>284</v>
      </c>
      <c r="E59" s="53" t="s">
        <v>285</v>
      </c>
      <c r="F59" s="53" t="s">
        <v>286</v>
      </c>
      <c r="G59" s="3">
        <v>8.2000000000000003E-2</v>
      </c>
      <c r="H59" s="57">
        <v>46205</v>
      </c>
      <c r="I59" s="21" t="b">
        <v>1</v>
      </c>
      <c r="J59" s="63" t="s">
        <v>25</v>
      </c>
      <c r="K59" s="62">
        <v>46179</v>
      </c>
      <c r="L59" s="62">
        <v>46186</v>
      </c>
      <c r="M59" s="62">
        <v>46202</v>
      </c>
      <c r="N59" s="62">
        <v>46207</v>
      </c>
      <c r="O59" s="21" t="b">
        <v>0</v>
      </c>
      <c r="P59" s="21" t="b">
        <v>0</v>
      </c>
      <c r="Q59" s="17"/>
      <c r="R59" s="136"/>
      <c r="S59" s="136"/>
    </row>
    <row r="60" spans="1:19" ht="21.4" x14ac:dyDescent="0.3">
      <c r="A60" s="23" t="s">
        <v>196</v>
      </c>
      <c r="B60" s="60" t="s">
        <v>27</v>
      </c>
      <c r="C60" s="53" t="s">
        <v>1316</v>
      </c>
      <c r="D60" s="53" t="s">
        <v>353</v>
      </c>
      <c r="E60" s="53" t="s">
        <v>354</v>
      </c>
      <c r="F60" s="53" t="s">
        <v>286</v>
      </c>
      <c r="G60" s="3">
        <v>0.17499999999999999</v>
      </c>
      <c r="H60" s="57">
        <v>46204</v>
      </c>
      <c r="I60" s="21" t="b">
        <v>1</v>
      </c>
      <c r="J60" s="63" t="s">
        <v>28</v>
      </c>
      <c r="K60" s="62">
        <v>46167</v>
      </c>
      <c r="L60" s="62">
        <v>46174</v>
      </c>
      <c r="M60" s="62">
        <v>46188</v>
      </c>
      <c r="N60" s="62">
        <v>46195</v>
      </c>
      <c r="O60" s="21" t="b">
        <v>1</v>
      </c>
      <c r="P60" s="21" t="b">
        <v>1</v>
      </c>
      <c r="Q60" s="57">
        <v>46273</v>
      </c>
      <c r="R60" s="136"/>
      <c r="S60" s="136"/>
    </row>
    <row r="61" spans="1:19" ht="21.4" x14ac:dyDescent="0.3">
      <c r="A61" s="23" t="s">
        <v>163</v>
      </c>
      <c r="B61" s="61" t="s">
        <v>19</v>
      </c>
      <c r="C61" s="53" t="s">
        <v>313</v>
      </c>
      <c r="D61" s="53" t="s">
        <v>284</v>
      </c>
      <c r="E61" s="53" t="s">
        <v>285</v>
      </c>
      <c r="F61" s="53" t="s">
        <v>286</v>
      </c>
      <c r="G61" s="3">
        <v>8.1000000000000003E-2</v>
      </c>
      <c r="H61" s="57">
        <v>46205</v>
      </c>
      <c r="I61" s="21" t="b">
        <v>1</v>
      </c>
      <c r="J61" s="63" t="s">
        <v>25</v>
      </c>
      <c r="K61" s="62">
        <v>46179</v>
      </c>
      <c r="L61" s="62">
        <v>46186</v>
      </c>
      <c r="M61" s="62">
        <v>46202</v>
      </c>
      <c r="N61" s="62">
        <v>46207</v>
      </c>
      <c r="O61" s="21" t="b">
        <v>0</v>
      </c>
      <c r="P61" s="21" t="b">
        <v>0</v>
      </c>
      <c r="Q61" s="17"/>
      <c r="R61" s="136"/>
      <c r="S61" s="136"/>
    </row>
    <row r="62" spans="1:19" ht="21.4" x14ac:dyDescent="0.3">
      <c r="A62" s="23" t="s">
        <v>164</v>
      </c>
      <c r="B62" s="60" t="s">
        <v>27</v>
      </c>
      <c r="C62" s="53" t="s">
        <v>314</v>
      </c>
      <c r="D62" s="53" t="s">
        <v>284</v>
      </c>
      <c r="E62" s="53" t="s">
        <v>285</v>
      </c>
      <c r="F62" s="53" t="s">
        <v>286</v>
      </c>
      <c r="G62" s="3">
        <v>6.7000000000000004E-2</v>
      </c>
      <c r="H62" s="57">
        <v>46186</v>
      </c>
      <c r="I62" s="21" t="b">
        <v>1</v>
      </c>
      <c r="J62" s="63" t="s">
        <v>132</v>
      </c>
      <c r="K62" s="62">
        <v>46153</v>
      </c>
      <c r="L62" s="62">
        <v>46160</v>
      </c>
      <c r="M62" s="62">
        <v>46174</v>
      </c>
      <c r="N62" s="62">
        <v>46179</v>
      </c>
      <c r="O62" s="21" t="b">
        <v>0</v>
      </c>
      <c r="P62" s="21" t="b">
        <v>0</v>
      </c>
      <c r="Q62" s="17"/>
      <c r="R62" s="136"/>
      <c r="S62" s="136"/>
    </row>
    <row r="63" spans="1:19" ht="21.4" x14ac:dyDescent="0.3">
      <c r="A63" s="23" t="s">
        <v>165</v>
      </c>
      <c r="B63" s="61" t="s">
        <v>19</v>
      </c>
      <c r="C63" s="53" t="s">
        <v>1273</v>
      </c>
      <c r="D63" s="53" t="s">
        <v>284</v>
      </c>
      <c r="E63" s="53" t="s">
        <v>285</v>
      </c>
      <c r="F63" s="53" t="s">
        <v>286</v>
      </c>
      <c r="G63" s="3">
        <v>0.104</v>
      </c>
      <c r="H63" s="57">
        <v>46186</v>
      </c>
      <c r="I63" s="21" t="b">
        <v>1</v>
      </c>
      <c r="J63" s="63" t="s">
        <v>130</v>
      </c>
      <c r="K63" s="62">
        <v>46167</v>
      </c>
      <c r="L63" s="62">
        <v>46174</v>
      </c>
      <c r="M63" s="62">
        <v>46188</v>
      </c>
      <c r="N63" s="62">
        <v>46195</v>
      </c>
      <c r="O63" s="21" t="b">
        <v>1</v>
      </c>
      <c r="P63" s="21" t="b">
        <v>1</v>
      </c>
      <c r="Q63" s="57">
        <v>46254</v>
      </c>
      <c r="R63" s="136"/>
      <c r="S63" s="136"/>
    </row>
    <row r="64" spans="1:19" ht="21.4" x14ac:dyDescent="0.3">
      <c r="A64" s="23" t="s">
        <v>166</v>
      </c>
      <c r="B64" s="60" t="s">
        <v>27</v>
      </c>
      <c r="C64" s="53" t="s">
        <v>315</v>
      </c>
      <c r="D64" s="53" t="s">
        <v>284</v>
      </c>
      <c r="E64" s="53" t="s">
        <v>285</v>
      </c>
      <c r="F64" s="53" t="s">
        <v>286</v>
      </c>
      <c r="G64" s="3">
        <v>6.6000000000000003E-2</v>
      </c>
      <c r="H64" s="57">
        <v>46186</v>
      </c>
      <c r="I64" s="21" t="b">
        <v>1</v>
      </c>
      <c r="J64" s="63" t="s">
        <v>132</v>
      </c>
      <c r="K64" s="62">
        <v>46153</v>
      </c>
      <c r="L64" s="62">
        <v>46160</v>
      </c>
      <c r="M64" s="62">
        <v>46174</v>
      </c>
      <c r="N64" s="62">
        <v>46179</v>
      </c>
      <c r="O64" s="21" t="b">
        <v>0</v>
      </c>
      <c r="P64" s="21" t="b">
        <v>0</v>
      </c>
      <c r="Q64" s="17"/>
      <c r="R64" s="136"/>
      <c r="S64" s="136"/>
    </row>
    <row r="65" spans="1:19" ht="21.4" x14ac:dyDescent="0.3">
      <c r="A65" s="23" t="s">
        <v>167</v>
      </c>
      <c r="B65" s="61" t="s">
        <v>19</v>
      </c>
      <c r="C65" s="53" t="s">
        <v>316</v>
      </c>
      <c r="D65" s="53" t="s">
        <v>284</v>
      </c>
      <c r="E65" s="53" t="s">
        <v>285</v>
      </c>
      <c r="F65" s="53" t="s">
        <v>286</v>
      </c>
      <c r="G65" s="3">
        <v>8.1000000000000003E-2</v>
      </c>
      <c r="H65" s="57">
        <v>46186</v>
      </c>
      <c r="I65" s="21" t="b">
        <v>1</v>
      </c>
      <c r="J65" s="63" t="s">
        <v>130</v>
      </c>
      <c r="K65" s="62">
        <v>46167</v>
      </c>
      <c r="L65" s="62">
        <v>46174</v>
      </c>
      <c r="M65" s="62">
        <v>46188</v>
      </c>
      <c r="N65" s="62">
        <v>46195</v>
      </c>
      <c r="O65" s="21" t="b">
        <v>0</v>
      </c>
      <c r="P65" s="21" t="b">
        <v>0</v>
      </c>
      <c r="Q65" s="17"/>
      <c r="R65" s="136"/>
      <c r="S65" s="136"/>
    </row>
    <row r="66" spans="1:19" ht="21.4" x14ac:dyDescent="0.3">
      <c r="A66" s="23" t="s">
        <v>168</v>
      </c>
      <c r="B66" s="60" t="s">
        <v>27</v>
      </c>
      <c r="C66" s="53" t="s">
        <v>317</v>
      </c>
      <c r="D66" s="53" t="s">
        <v>284</v>
      </c>
      <c r="E66" s="53" t="s">
        <v>285</v>
      </c>
      <c r="F66" s="53" t="s">
        <v>286</v>
      </c>
      <c r="G66" s="3">
        <v>6.7000000000000004E-2</v>
      </c>
      <c r="H66" s="57">
        <v>46186</v>
      </c>
      <c r="I66" s="21" t="b">
        <v>1</v>
      </c>
      <c r="J66" s="63" t="s">
        <v>132</v>
      </c>
      <c r="K66" s="62">
        <v>46153</v>
      </c>
      <c r="L66" s="62">
        <v>46160</v>
      </c>
      <c r="M66" s="62">
        <v>46174</v>
      </c>
      <c r="N66" s="62">
        <v>46179</v>
      </c>
      <c r="O66" s="21" t="b">
        <v>0</v>
      </c>
      <c r="P66" s="21" t="b">
        <v>0</v>
      </c>
      <c r="Q66" s="17"/>
      <c r="R66" s="136"/>
      <c r="S66" s="136"/>
    </row>
    <row r="67" spans="1:19" ht="21.4" x14ac:dyDescent="0.3">
      <c r="A67" s="23" t="s">
        <v>169</v>
      </c>
      <c r="B67" s="61" t="s">
        <v>19</v>
      </c>
      <c r="C67" s="66" t="s">
        <v>318</v>
      </c>
      <c r="D67" s="53" t="s">
        <v>284</v>
      </c>
      <c r="E67" s="53" t="s">
        <v>285</v>
      </c>
      <c r="F67" s="53" t="s">
        <v>286</v>
      </c>
      <c r="G67" s="3">
        <v>8.2000000000000003E-2</v>
      </c>
      <c r="H67" s="57">
        <v>46204</v>
      </c>
      <c r="I67" s="21" t="b">
        <v>1</v>
      </c>
      <c r="J67" s="63" t="s">
        <v>130</v>
      </c>
      <c r="K67" s="62">
        <v>46167</v>
      </c>
      <c r="L67" s="62">
        <v>46174</v>
      </c>
      <c r="M67" s="62">
        <v>46188</v>
      </c>
      <c r="N67" s="62">
        <v>46195</v>
      </c>
      <c r="O67" s="21" t="b">
        <v>0</v>
      </c>
      <c r="P67" s="21" t="b">
        <v>0</v>
      </c>
      <c r="Q67" s="17"/>
      <c r="R67" s="136"/>
      <c r="S67" s="136"/>
    </row>
    <row r="68" spans="1:19" ht="21.4" x14ac:dyDescent="0.3">
      <c r="A68" s="23" t="s">
        <v>170</v>
      </c>
      <c r="B68" s="60" t="s">
        <v>27</v>
      </c>
      <c r="C68" s="53" t="s">
        <v>1261</v>
      </c>
      <c r="D68" s="53" t="s">
        <v>284</v>
      </c>
      <c r="E68" s="53" t="s">
        <v>285</v>
      </c>
      <c r="F68" s="53" t="s">
        <v>286</v>
      </c>
      <c r="G68" s="3">
        <v>0.113</v>
      </c>
      <c r="H68" s="57">
        <v>46186</v>
      </c>
      <c r="I68" s="21" t="b">
        <v>1</v>
      </c>
      <c r="J68" s="63" t="s">
        <v>132</v>
      </c>
      <c r="K68" s="62">
        <v>46153</v>
      </c>
      <c r="L68" s="62">
        <v>46160</v>
      </c>
      <c r="M68" s="62">
        <v>46174</v>
      </c>
      <c r="N68" s="62">
        <v>46179</v>
      </c>
      <c r="O68" s="21" t="b">
        <v>1</v>
      </c>
      <c r="P68" s="21" t="b">
        <v>1</v>
      </c>
      <c r="Q68" s="57">
        <v>46254</v>
      </c>
      <c r="R68" s="136"/>
      <c r="S68" s="136"/>
    </row>
    <row r="69" spans="1:19" ht="21.4" x14ac:dyDescent="0.3">
      <c r="A69" s="23" t="s">
        <v>128</v>
      </c>
      <c r="B69" s="61" t="s">
        <v>19</v>
      </c>
      <c r="C69" s="53" t="s">
        <v>319</v>
      </c>
      <c r="D69" s="53" t="s">
        <v>284</v>
      </c>
      <c r="E69" s="53" t="s">
        <v>285</v>
      </c>
      <c r="F69" s="53" t="s">
        <v>286</v>
      </c>
      <c r="G69" s="3">
        <v>6.9000000000000006E-2</v>
      </c>
      <c r="H69" s="57">
        <v>46204</v>
      </c>
      <c r="I69" s="21" t="b">
        <v>1</v>
      </c>
      <c r="J69" s="63" t="s">
        <v>130</v>
      </c>
      <c r="K69" s="62">
        <v>46167</v>
      </c>
      <c r="L69" s="62">
        <v>46174</v>
      </c>
      <c r="M69" s="62">
        <v>46188</v>
      </c>
      <c r="N69" s="62">
        <v>46195</v>
      </c>
      <c r="O69" s="21" t="b">
        <v>0</v>
      </c>
      <c r="P69" s="21" t="b">
        <v>0</v>
      </c>
      <c r="Q69" s="17"/>
      <c r="R69" s="136"/>
      <c r="S69" s="136"/>
    </row>
    <row r="70" spans="1:19" ht="21.4" x14ac:dyDescent="0.3">
      <c r="A70" s="23" t="s">
        <v>131</v>
      </c>
      <c r="B70" s="60" t="s">
        <v>27</v>
      </c>
      <c r="C70" s="53" t="s">
        <v>320</v>
      </c>
      <c r="D70" s="53" t="s">
        <v>284</v>
      </c>
      <c r="E70" s="53" t="s">
        <v>285</v>
      </c>
      <c r="F70" s="53" t="s">
        <v>286</v>
      </c>
      <c r="G70" s="3">
        <v>6.6000000000000003E-2</v>
      </c>
      <c r="H70" s="57">
        <v>46186</v>
      </c>
      <c r="I70" s="21" t="b">
        <v>1</v>
      </c>
      <c r="J70" s="63" t="s">
        <v>132</v>
      </c>
      <c r="K70" s="62">
        <v>46153</v>
      </c>
      <c r="L70" s="62">
        <v>46160</v>
      </c>
      <c r="M70" s="62">
        <v>46174</v>
      </c>
      <c r="N70" s="62">
        <v>46179</v>
      </c>
      <c r="O70" s="21" t="b">
        <v>0</v>
      </c>
      <c r="P70" s="21" t="b">
        <v>0</v>
      </c>
      <c r="Q70" s="17"/>
      <c r="R70" s="136"/>
      <c r="S70" s="136"/>
    </row>
    <row r="71" spans="1:19" ht="21.4" x14ac:dyDescent="0.3">
      <c r="A71" s="23" t="s">
        <v>133</v>
      </c>
      <c r="B71" s="61" t="s">
        <v>19</v>
      </c>
      <c r="C71" s="53" t="s">
        <v>321</v>
      </c>
      <c r="D71" s="53" t="s">
        <v>284</v>
      </c>
      <c r="E71" s="53" t="s">
        <v>285</v>
      </c>
      <c r="F71" s="53" t="s">
        <v>286</v>
      </c>
      <c r="G71" s="3">
        <v>7.1999999999999995E-2</v>
      </c>
      <c r="H71" s="57">
        <v>46186</v>
      </c>
      <c r="I71" s="21" t="b">
        <v>1</v>
      </c>
      <c r="J71" s="63" t="s">
        <v>130</v>
      </c>
      <c r="K71" s="62">
        <v>46167</v>
      </c>
      <c r="L71" s="62">
        <v>46174</v>
      </c>
      <c r="M71" s="62">
        <v>46188</v>
      </c>
      <c r="N71" s="62">
        <v>46195</v>
      </c>
      <c r="O71" s="21" t="b">
        <v>0</v>
      </c>
      <c r="P71" s="21" t="b">
        <v>0</v>
      </c>
      <c r="Q71" s="17"/>
      <c r="R71" s="136"/>
      <c r="S71" s="136"/>
    </row>
    <row r="72" spans="1:19" ht="21.4" x14ac:dyDescent="0.3">
      <c r="A72" s="23" t="s">
        <v>134</v>
      </c>
      <c r="B72" s="60" t="s">
        <v>27</v>
      </c>
      <c r="C72" s="53" t="s">
        <v>322</v>
      </c>
      <c r="D72" s="53" t="s">
        <v>284</v>
      </c>
      <c r="E72" s="53" t="s">
        <v>285</v>
      </c>
      <c r="F72" s="53" t="s">
        <v>286</v>
      </c>
      <c r="G72" s="3">
        <v>8.3000000000000004E-2</v>
      </c>
      <c r="H72" s="57">
        <v>46182</v>
      </c>
      <c r="I72" s="21" t="b">
        <v>1</v>
      </c>
      <c r="J72" s="63" t="s">
        <v>132</v>
      </c>
      <c r="K72" s="62">
        <v>46153</v>
      </c>
      <c r="L72" s="62">
        <v>46160</v>
      </c>
      <c r="M72" s="62">
        <v>46174</v>
      </c>
      <c r="N72" s="62">
        <v>46179</v>
      </c>
      <c r="O72" s="21" t="b">
        <v>0</v>
      </c>
      <c r="P72" s="21" t="b">
        <v>0</v>
      </c>
      <c r="Q72" s="17"/>
      <c r="R72" s="136"/>
      <c r="S72" s="136"/>
    </row>
    <row r="73" spans="1:19" ht="21.4" x14ac:dyDescent="0.3">
      <c r="A73" s="23" t="s">
        <v>135</v>
      </c>
      <c r="B73" s="61" t="s">
        <v>19</v>
      </c>
      <c r="C73" s="53" t="s">
        <v>1275</v>
      </c>
      <c r="D73" s="53" t="s">
        <v>284</v>
      </c>
      <c r="E73" s="53" t="s">
        <v>285</v>
      </c>
      <c r="F73" s="53" t="s">
        <v>286</v>
      </c>
      <c r="G73" s="3">
        <v>0.10100000000000001</v>
      </c>
      <c r="H73" s="57">
        <v>46182</v>
      </c>
      <c r="I73" s="21" t="b">
        <v>1</v>
      </c>
      <c r="J73" s="63" t="s">
        <v>130</v>
      </c>
      <c r="K73" s="62">
        <v>46167</v>
      </c>
      <c r="L73" s="62">
        <v>46174</v>
      </c>
      <c r="M73" s="62">
        <v>46188</v>
      </c>
      <c r="N73" s="62">
        <v>46195</v>
      </c>
      <c r="O73" s="21" t="b">
        <v>1</v>
      </c>
      <c r="P73" s="21" t="b">
        <v>1</v>
      </c>
      <c r="Q73" s="57">
        <v>46254</v>
      </c>
      <c r="R73" s="136"/>
      <c r="S73" s="136"/>
    </row>
    <row r="74" spans="1:19" ht="21.4" x14ac:dyDescent="0.3">
      <c r="A74" s="23" t="s">
        <v>136</v>
      </c>
      <c r="B74" s="60" t="s">
        <v>27</v>
      </c>
      <c r="C74" s="53" t="s">
        <v>323</v>
      </c>
      <c r="D74" s="53" t="s">
        <v>284</v>
      </c>
      <c r="E74" s="53" t="s">
        <v>285</v>
      </c>
      <c r="F74" s="53" t="s">
        <v>286</v>
      </c>
      <c r="G74" s="3">
        <v>7.0000000000000007E-2</v>
      </c>
      <c r="H74" s="57">
        <v>46182</v>
      </c>
      <c r="I74" s="21" t="b">
        <v>1</v>
      </c>
      <c r="J74" s="63" t="s">
        <v>132</v>
      </c>
      <c r="K74" s="62">
        <v>46153</v>
      </c>
      <c r="L74" s="62">
        <v>46160</v>
      </c>
      <c r="M74" s="62">
        <v>46174</v>
      </c>
      <c r="N74" s="62">
        <v>46179</v>
      </c>
      <c r="O74" s="21" t="b">
        <v>0</v>
      </c>
      <c r="P74" s="21" t="b">
        <v>0</v>
      </c>
      <c r="Q74" s="17"/>
      <c r="R74" s="136"/>
      <c r="S74" s="136"/>
    </row>
    <row r="75" spans="1:19" ht="21.4" x14ac:dyDescent="0.3">
      <c r="A75" s="23" t="s">
        <v>137</v>
      </c>
      <c r="B75" s="61" t="s">
        <v>19</v>
      </c>
      <c r="C75" s="53" t="s">
        <v>324</v>
      </c>
      <c r="D75" s="53" t="s">
        <v>284</v>
      </c>
      <c r="E75" s="53" t="s">
        <v>285</v>
      </c>
      <c r="F75" s="53" t="s">
        <v>286</v>
      </c>
      <c r="G75" s="3">
        <v>7.0000000000000007E-2</v>
      </c>
      <c r="H75" s="57">
        <v>46182</v>
      </c>
      <c r="I75" s="21" t="b">
        <v>1</v>
      </c>
      <c r="J75" s="63" t="s">
        <v>130</v>
      </c>
      <c r="K75" s="62">
        <v>46167</v>
      </c>
      <c r="L75" s="62">
        <v>46174</v>
      </c>
      <c r="M75" s="62">
        <v>46188</v>
      </c>
      <c r="N75" s="62">
        <v>46195</v>
      </c>
      <c r="O75" s="21" t="b">
        <v>0</v>
      </c>
      <c r="P75" s="21" t="b">
        <v>0</v>
      </c>
      <c r="Q75" s="17"/>
      <c r="R75" s="136"/>
      <c r="S75" s="136"/>
    </row>
    <row r="76" spans="1:19" ht="21.4" x14ac:dyDescent="0.3">
      <c r="A76" s="23" t="s">
        <v>138</v>
      </c>
      <c r="B76" s="60" t="s">
        <v>27</v>
      </c>
      <c r="C76" s="53" t="s">
        <v>325</v>
      </c>
      <c r="D76" s="53" t="s">
        <v>284</v>
      </c>
      <c r="E76" s="53" t="s">
        <v>285</v>
      </c>
      <c r="F76" s="53" t="s">
        <v>286</v>
      </c>
      <c r="G76" s="3">
        <v>7.1999999999999995E-2</v>
      </c>
      <c r="H76" s="57">
        <v>46182</v>
      </c>
      <c r="I76" s="21" t="b">
        <v>1</v>
      </c>
      <c r="J76" s="63" t="s">
        <v>132</v>
      </c>
      <c r="K76" s="62">
        <v>46153</v>
      </c>
      <c r="L76" s="62">
        <v>46160</v>
      </c>
      <c r="M76" s="62">
        <v>46174</v>
      </c>
      <c r="N76" s="62">
        <v>46179</v>
      </c>
      <c r="O76" s="21" t="b">
        <v>0</v>
      </c>
      <c r="P76" s="21" t="b">
        <v>0</v>
      </c>
      <c r="Q76" s="17"/>
      <c r="R76" s="136"/>
      <c r="S76" s="136"/>
    </row>
    <row r="77" spans="1:19" ht="21.4" x14ac:dyDescent="0.3">
      <c r="A77" s="23" t="s">
        <v>96</v>
      </c>
      <c r="B77" s="59" t="s">
        <v>65</v>
      </c>
      <c r="C77" s="53" t="s">
        <v>326</v>
      </c>
      <c r="D77" s="53" t="s">
        <v>284</v>
      </c>
      <c r="E77" s="53" t="s">
        <v>285</v>
      </c>
      <c r="F77" s="53" t="s">
        <v>286</v>
      </c>
      <c r="G77" s="3">
        <v>9.6000000000000002E-2</v>
      </c>
      <c r="H77" s="57">
        <v>46177</v>
      </c>
      <c r="I77" s="21" t="b">
        <v>1</v>
      </c>
      <c r="J77" s="63" t="s">
        <v>98</v>
      </c>
      <c r="K77" s="62">
        <v>46190</v>
      </c>
      <c r="L77" s="62">
        <v>46197</v>
      </c>
      <c r="M77" s="62">
        <v>46211</v>
      </c>
      <c r="N77" s="62">
        <v>46217</v>
      </c>
      <c r="O77" s="21" t="b">
        <v>1</v>
      </c>
      <c r="P77" s="21" t="b">
        <v>1</v>
      </c>
      <c r="Q77" s="57">
        <v>46216</v>
      </c>
      <c r="R77" s="139">
        <v>46234</v>
      </c>
      <c r="S77" s="136" t="s">
        <v>1194</v>
      </c>
    </row>
    <row r="78" spans="1:19" ht="21.4" x14ac:dyDescent="0.3">
      <c r="A78" s="23" t="s">
        <v>99</v>
      </c>
      <c r="B78" s="59" t="s">
        <v>65</v>
      </c>
      <c r="C78" s="53" t="s">
        <v>327</v>
      </c>
      <c r="D78" s="53" t="s">
        <v>284</v>
      </c>
      <c r="E78" s="53" t="s">
        <v>285</v>
      </c>
      <c r="F78" s="53" t="s">
        <v>286</v>
      </c>
      <c r="G78" s="3">
        <v>0.10299999999999999</v>
      </c>
      <c r="H78" s="57">
        <v>46177</v>
      </c>
      <c r="I78" s="21" t="b">
        <v>1</v>
      </c>
      <c r="J78" s="63" t="s">
        <v>98</v>
      </c>
      <c r="K78" s="62">
        <v>46190</v>
      </c>
      <c r="L78" s="62">
        <v>46197</v>
      </c>
      <c r="M78" s="62">
        <v>46211</v>
      </c>
      <c r="N78" s="62">
        <v>46217</v>
      </c>
      <c r="O78" s="21" t="b">
        <v>0</v>
      </c>
      <c r="P78" s="21" t="b">
        <v>0</v>
      </c>
      <c r="Q78" s="17"/>
      <c r="R78" s="139">
        <v>46234</v>
      </c>
      <c r="S78" s="136" t="s">
        <v>1195</v>
      </c>
    </row>
    <row r="79" spans="1:19" ht="21.4" x14ac:dyDescent="0.3">
      <c r="A79" s="23" t="s">
        <v>100</v>
      </c>
      <c r="B79" s="59" t="s">
        <v>65</v>
      </c>
      <c r="C79" s="53">
        <v>10172260</v>
      </c>
      <c r="D79" s="53" t="s">
        <v>284</v>
      </c>
      <c r="E79" s="53" t="s">
        <v>285</v>
      </c>
      <c r="F79" s="53" t="s">
        <v>286</v>
      </c>
      <c r="G79" s="3">
        <v>0.10299999999999999</v>
      </c>
      <c r="H79" s="57">
        <v>46171</v>
      </c>
      <c r="I79" s="21" t="b">
        <v>1</v>
      </c>
      <c r="J79" s="63" t="s">
        <v>98</v>
      </c>
      <c r="K79" s="62">
        <v>46190</v>
      </c>
      <c r="L79" s="62">
        <v>46197</v>
      </c>
      <c r="M79" s="62">
        <v>46211</v>
      </c>
      <c r="N79" s="62">
        <v>46217</v>
      </c>
      <c r="O79" s="21" t="b">
        <v>0</v>
      </c>
      <c r="P79" s="21" t="b">
        <v>0</v>
      </c>
      <c r="Q79" s="17"/>
      <c r="R79" s="139">
        <v>46234</v>
      </c>
      <c r="S79" s="136" t="s">
        <v>1196</v>
      </c>
    </row>
    <row r="80" spans="1:19" ht="21.4" x14ac:dyDescent="0.3">
      <c r="A80" s="23" t="s">
        <v>101</v>
      </c>
      <c r="B80" s="59" t="s">
        <v>65</v>
      </c>
      <c r="C80" s="53" t="s">
        <v>328</v>
      </c>
      <c r="D80" s="53" t="s">
        <v>284</v>
      </c>
      <c r="E80" s="53" t="s">
        <v>285</v>
      </c>
      <c r="F80" s="53" t="s">
        <v>286</v>
      </c>
      <c r="G80" s="3">
        <v>9.7000000000000003E-2</v>
      </c>
      <c r="H80" s="57">
        <v>46177</v>
      </c>
      <c r="I80" s="21" t="b">
        <v>1</v>
      </c>
      <c r="J80" s="63" t="s">
        <v>98</v>
      </c>
      <c r="K80" s="62">
        <v>46190</v>
      </c>
      <c r="L80" s="62">
        <v>46197</v>
      </c>
      <c r="M80" s="62">
        <v>46211</v>
      </c>
      <c r="N80" s="62">
        <v>46217</v>
      </c>
      <c r="O80" s="21" t="b">
        <v>0</v>
      </c>
      <c r="P80" s="21" t="b">
        <v>0</v>
      </c>
      <c r="Q80" s="17"/>
      <c r="R80" s="139">
        <v>46234</v>
      </c>
      <c r="S80" s="136" t="s">
        <v>1197</v>
      </c>
    </row>
    <row r="81" spans="1:20" ht="21.4" x14ac:dyDescent="0.3">
      <c r="A81" s="23" t="s">
        <v>240</v>
      </c>
      <c r="B81" s="59" t="s">
        <v>65</v>
      </c>
      <c r="C81" s="53">
        <v>10172248</v>
      </c>
      <c r="D81" s="53" t="s">
        <v>284</v>
      </c>
      <c r="E81" s="53" t="s">
        <v>285</v>
      </c>
      <c r="F81" s="53" t="s">
        <v>286</v>
      </c>
      <c r="G81" s="3">
        <v>9.6000000000000002E-2</v>
      </c>
      <c r="H81" s="57">
        <v>46171</v>
      </c>
      <c r="I81" s="21" t="b">
        <v>1</v>
      </c>
      <c r="J81" s="63" t="s">
        <v>242</v>
      </c>
      <c r="K81" s="62">
        <v>46175</v>
      </c>
      <c r="L81" s="62">
        <v>46182</v>
      </c>
      <c r="M81" s="62">
        <v>46197</v>
      </c>
      <c r="N81" s="62">
        <v>46203</v>
      </c>
      <c r="O81" s="21" t="b">
        <v>0</v>
      </c>
      <c r="P81" s="21" t="b">
        <v>0</v>
      </c>
      <c r="Q81" s="17"/>
      <c r="R81" s="139">
        <v>46234</v>
      </c>
      <c r="S81" s="136" t="s">
        <v>1198</v>
      </c>
    </row>
    <row r="82" spans="1:20" ht="21.4" x14ac:dyDescent="0.3">
      <c r="A82" s="23" t="s">
        <v>243</v>
      </c>
      <c r="B82" s="59" t="s">
        <v>65</v>
      </c>
      <c r="C82" s="53" t="s">
        <v>1309</v>
      </c>
      <c r="D82" s="53" t="s">
        <v>284</v>
      </c>
      <c r="E82" s="53" t="s">
        <v>285</v>
      </c>
      <c r="F82" s="53" t="s">
        <v>286</v>
      </c>
      <c r="G82" s="3">
        <v>0.10199999999999999</v>
      </c>
      <c r="H82" s="57">
        <v>46171</v>
      </c>
      <c r="I82" s="21" t="b">
        <v>0</v>
      </c>
      <c r="J82" s="63" t="s">
        <v>242</v>
      </c>
      <c r="K82" s="62">
        <v>46175</v>
      </c>
      <c r="L82" s="62">
        <v>46182</v>
      </c>
      <c r="M82" s="62">
        <v>46197</v>
      </c>
      <c r="N82" s="62">
        <v>46203</v>
      </c>
      <c r="O82" s="21" t="b">
        <v>1</v>
      </c>
      <c r="P82" s="21" t="b">
        <v>1</v>
      </c>
      <c r="Q82" s="57">
        <v>46258</v>
      </c>
      <c r="R82" s="139">
        <v>46234</v>
      </c>
      <c r="S82" s="136" t="s">
        <v>1199</v>
      </c>
    </row>
    <row r="83" spans="1:20" ht="21.4" x14ac:dyDescent="0.3">
      <c r="A83" s="23" t="s">
        <v>244</v>
      </c>
      <c r="B83" s="59" t="s">
        <v>65</v>
      </c>
      <c r="C83" s="53" t="s">
        <v>1210</v>
      </c>
      <c r="D83" s="53" t="s">
        <v>284</v>
      </c>
      <c r="E83" s="53" t="s">
        <v>285</v>
      </c>
      <c r="F83" s="53" t="s">
        <v>286</v>
      </c>
      <c r="G83" s="3">
        <v>0.10199999999999999</v>
      </c>
      <c r="H83" s="57">
        <v>46171</v>
      </c>
      <c r="I83" s="21" t="b">
        <v>1</v>
      </c>
      <c r="J83" s="63" t="s">
        <v>242</v>
      </c>
      <c r="K83" s="62">
        <v>46175</v>
      </c>
      <c r="L83" s="62">
        <v>46182</v>
      </c>
      <c r="M83" s="62">
        <v>46197</v>
      </c>
      <c r="N83" s="62">
        <v>46203</v>
      </c>
      <c r="O83" s="21" t="b">
        <v>0</v>
      </c>
      <c r="P83" s="21" t="b">
        <v>0</v>
      </c>
      <c r="Q83" s="17"/>
      <c r="R83" s="139">
        <v>46234</v>
      </c>
      <c r="S83" s="136" t="s">
        <v>1200</v>
      </c>
    </row>
    <row r="84" spans="1:20" ht="21.4" x14ac:dyDescent="0.3">
      <c r="A84" s="23" t="s">
        <v>245</v>
      </c>
      <c r="B84" s="59" t="s">
        <v>65</v>
      </c>
      <c r="C84" s="53" t="s">
        <v>1211</v>
      </c>
      <c r="D84" s="53" t="s">
        <v>284</v>
      </c>
      <c r="E84" s="53" t="s">
        <v>285</v>
      </c>
      <c r="F84" s="53" t="s">
        <v>286</v>
      </c>
      <c r="G84" s="3">
        <v>0.10199999999999999</v>
      </c>
      <c r="H84" s="57">
        <v>46171</v>
      </c>
      <c r="I84" s="21" t="b">
        <v>1</v>
      </c>
      <c r="J84" s="63" t="s">
        <v>242</v>
      </c>
      <c r="K84" s="62">
        <v>46175</v>
      </c>
      <c r="L84" s="62">
        <v>46182</v>
      </c>
      <c r="M84" s="62">
        <v>46197</v>
      </c>
      <c r="N84" s="62">
        <v>46203</v>
      </c>
      <c r="O84" s="21" t="b">
        <v>0</v>
      </c>
      <c r="P84" s="21" t="b">
        <v>0</v>
      </c>
      <c r="Q84" s="17"/>
      <c r="R84" s="139">
        <v>46234</v>
      </c>
      <c r="S84" s="136" t="s">
        <v>1201</v>
      </c>
    </row>
    <row r="85" spans="1:20" ht="21.4" x14ac:dyDescent="0.3">
      <c r="A85" s="23" t="s">
        <v>246</v>
      </c>
      <c r="B85" s="59" t="s">
        <v>65</v>
      </c>
      <c r="C85" s="53">
        <v>10172262</v>
      </c>
      <c r="D85" s="53" t="s">
        <v>284</v>
      </c>
      <c r="E85" s="53" t="s">
        <v>285</v>
      </c>
      <c r="F85" s="53" t="s">
        <v>286</v>
      </c>
      <c r="G85" s="3">
        <v>0.10199999999999999</v>
      </c>
      <c r="H85" s="57">
        <v>46171</v>
      </c>
      <c r="I85" s="21" t="b">
        <v>1</v>
      </c>
      <c r="J85" s="63" t="s">
        <v>242</v>
      </c>
      <c r="K85" s="62">
        <v>46175</v>
      </c>
      <c r="L85" s="62">
        <v>46182</v>
      </c>
      <c r="M85" s="62">
        <v>46197</v>
      </c>
      <c r="N85" s="62">
        <v>46203</v>
      </c>
      <c r="O85" s="21" t="b">
        <v>0</v>
      </c>
      <c r="P85" s="21" t="b">
        <v>0</v>
      </c>
      <c r="Q85" s="17"/>
      <c r="R85" s="139">
        <v>46234</v>
      </c>
      <c r="S85" s="136" t="s">
        <v>1202</v>
      </c>
    </row>
    <row r="86" spans="1:20" ht="21.4" x14ac:dyDescent="0.3">
      <c r="A86" s="23" t="s">
        <v>247</v>
      </c>
      <c r="B86" s="59" t="s">
        <v>65</v>
      </c>
      <c r="C86" s="53">
        <v>10172253</v>
      </c>
      <c r="D86" s="53" t="s">
        <v>284</v>
      </c>
      <c r="E86" s="53" t="s">
        <v>285</v>
      </c>
      <c r="F86" s="53" t="s">
        <v>286</v>
      </c>
      <c r="G86" s="3">
        <v>0.10100000000000001</v>
      </c>
      <c r="H86" s="57">
        <v>46171</v>
      </c>
      <c r="I86" s="21" t="b">
        <v>1</v>
      </c>
      <c r="J86" s="63" t="s">
        <v>242</v>
      </c>
      <c r="K86" s="62">
        <v>46175</v>
      </c>
      <c r="L86" s="62">
        <v>46182</v>
      </c>
      <c r="M86" s="62">
        <v>46197</v>
      </c>
      <c r="N86" s="62">
        <v>46203</v>
      </c>
      <c r="O86" s="21" t="b">
        <v>0</v>
      </c>
      <c r="P86" s="21" t="b">
        <v>0</v>
      </c>
      <c r="Q86" s="17"/>
      <c r="R86" s="139">
        <v>46234</v>
      </c>
      <c r="S86" s="136" t="s">
        <v>1203</v>
      </c>
    </row>
    <row r="87" spans="1:20" ht="21.4" x14ac:dyDescent="0.3">
      <c r="A87" s="23" t="s">
        <v>248</v>
      </c>
      <c r="B87" s="59" t="s">
        <v>65</v>
      </c>
      <c r="C87" s="53" t="s">
        <v>329</v>
      </c>
      <c r="D87" s="53" t="s">
        <v>284</v>
      </c>
      <c r="E87" s="53" t="s">
        <v>285</v>
      </c>
      <c r="F87" s="53" t="s">
        <v>286</v>
      </c>
      <c r="G87" s="3">
        <v>8.7999999999999995E-2</v>
      </c>
      <c r="H87" s="57">
        <v>46177</v>
      </c>
      <c r="I87" s="21" t="b">
        <v>1</v>
      </c>
      <c r="J87" s="63" t="s">
        <v>242</v>
      </c>
      <c r="K87" s="62">
        <v>46175</v>
      </c>
      <c r="L87" s="62">
        <v>46182</v>
      </c>
      <c r="M87" s="62">
        <v>46197</v>
      </c>
      <c r="N87" s="62">
        <v>46203</v>
      </c>
      <c r="O87" s="21" t="b">
        <v>0</v>
      </c>
      <c r="P87" s="21" t="b">
        <v>0</v>
      </c>
      <c r="Q87" s="17"/>
      <c r="R87" s="139">
        <v>46234</v>
      </c>
      <c r="S87" s="136" t="s">
        <v>1204</v>
      </c>
    </row>
    <row r="88" spans="1:20" ht="21.4" x14ac:dyDescent="0.3">
      <c r="A88" s="23" t="s">
        <v>249</v>
      </c>
      <c r="B88" s="58" t="s">
        <v>174</v>
      </c>
      <c r="C88" s="53" t="s">
        <v>330</v>
      </c>
      <c r="D88" s="53" t="s">
        <v>284</v>
      </c>
      <c r="E88" s="53" t="s">
        <v>285</v>
      </c>
      <c r="F88" s="53" t="s">
        <v>286</v>
      </c>
      <c r="G88" s="3">
        <v>6.9000000000000006E-2</v>
      </c>
      <c r="H88" s="57">
        <v>46204</v>
      </c>
      <c r="I88" s="21" t="b">
        <v>1</v>
      </c>
      <c r="J88" s="63" t="s">
        <v>230</v>
      </c>
      <c r="K88" s="62">
        <v>46155</v>
      </c>
      <c r="L88" s="62">
        <v>46162</v>
      </c>
      <c r="M88" s="62">
        <v>46176</v>
      </c>
      <c r="N88" s="62">
        <v>46182</v>
      </c>
      <c r="O88" s="21" t="b">
        <v>0</v>
      </c>
      <c r="P88" s="21" t="b">
        <v>0</v>
      </c>
      <c r="Q88" s="17"/>
      <c r="R88" s="139">
        <v>46234</v>
      </c>
      <c r="S88" s="136" t="s">
        <v>1205</v>
      </c>
    </row>
    <row r="89" spans="1:20" ht="21.4" x14ac:dyDescent="0.3">
      <c r="A89" s="23" t="s">
        <v>250</v>
      </c>
      <c r="B89" s="58" t="s">
        <v>174</v>
      </c>
      <c r="C89" s="53">
        <v>10172138</v>
      </c>
      <c r="D89" s="53" t="s">
        <v>284</v>
      </c>
      <c r="E89" s="53" t="s">
        <v>285</v>
      </c>
      <c r="F89" s="53" t="s">
        <v>286</v>
      </c>
      <c r="G89" s="3">
        <v>8.5000000000000006E-2</v>
      </c>
      <c r="H89" s="57">
        <v>46182</v>
      </c>
      <c r="I89" s="21" t="b">
        <v>1</v>
      </c>
      <c r="J89" s="63" t="s">
        <v>230</v>
      </c>
      <c r="K89" s="62">
        <v>46155</v>
      </c>
      <c r="L89" s="62">
        <v>46162</v>
      </c>
      <c r="M89" s="62">
        <v>46176</v>
      </c>
      <c r="N89" s="62">
        <v>46182</v>
      </c>
      <c r="O89" s="21" t="b">
        <v>0</v>
      </c>
      <c r="P89" s="21" t="b">
        <v>0</v>
      </c>
      <c r="Q89" s="17"/>
      <c r="R89" s="139">
        <v>46234</v>
      </c>
      <c r="S89" s="136" t="s">
        <v>1206</v>
      </c>
    </row>
    <row r="90" spans="1:20" ht="21.4" x14ac:dyDescent="0.3">
      <c r="A90" s="23" t="s">
        <v>228</v>
      </c>
      <c r="B90" s="58" t="s">
        <v>174</v>
      </c>
      <c r="C90" s="53">
        <v>10172265</v>
      </c>
      <c r="D90" s="53" t="s">
        <v>284</v>
      </c>
      <c r="E90" s="53" t="s">
        <v>285</v>
      </c>
      <c r="F90" s="53" t="s">
        <v>286</v>
      </c>
      <c r="G90" s="3">
        <v>0.10199999999999999</v>
      </c>
      <c r="H90" s="57">
        <v>46163</v>
      </c>
      <c r="I90" s="21" t="b">
        <v>1</v>
      </c>
      <c r="J90" s="63" t="s">
        <v>230</v>
      </c>
      <c r="K90" s="62">
        <v>46155</v>
      </c>
      <c r="L90" s="62">
        <v>46162</v>
      </c>
      <c r="M90" s="62">
        <v>46176</v>
      </c>
      <c r="N90" s="62">
        <v>46182</v>
      </c>
      <c r="O90" s="21" t="b">
        <v>0</v>
      </c>
      <c r="P90" s="21" t="b">
        <v>0</v>
      </c>
      <c r="Q90" s="17"/>
      <c r="R90" s="139">
        <v>46234</v>
      </c>
      <c r="S90" s="136" t="s">
        <v>1207</v>
      </c>
    </row>
    <row r="91" spans="1:20" ht="21.4" x14ac:dyDescent="0.3">
      <c r="A91" s="23" t="s">
        <v>231</v>
      </c>
      <c r="B91" s="58" t="s">
        <v>174</v>
      </c>
      <c r="C91" s="53" t="s">
        <v>331</v>
      </c>
      <c r="D91" s="53" t="s">
        <v>284</v>
      </c>
      <c r="E91" s="53" t="s">
        <v>285</v>
      </c>
      <c r="F91" s="53" t="s">
        <v>286</v>
      </c>
      <c r="G91" s="3">
        <v>9.7000000000000003E-2</v>
      </c>
      <c r="H91" s="57">
        <v>46163</v>
      </c>
      <c r="I91" s="21" t="b">
        <v>1</v>
      </c>
      <c r="J91" s="63" t="s">
        <v>230</v>
      </c>
      <c r="K91" s="62">
        <v>46155</v>
      </c>
      <c r="L91" s="62">
        <v>46162</v>
      </c>
      <c r="M91" s="62">
        <v>46176</v>
      </c>
      <c r="N91" s="62">
        <v>46182</v>
      </c>
      <c r="O91" s="21" t="b">
        <v>0</v>
      </c>
      <c r="P91" s="21" t="b">
        <v>0</v>
      </c>
      <c r="Q91" s="17"/>
      <c r="R91" s="139">
        <v>46234</v>
      </c>
      <c r="S91" s="136" t="s">
        <v>1208</v>
      </c>
    </row>
    <row r="92" spans="1:20" ht="21.4" x14ac:dyDescent="0.3">
      <c r="A92" s="23" t="s">
        <v>232</v>
      </c>
      <c r="B92" s="58" t="s">
        <v>174</v>
      </c>
      <c r="C92" s="53">
        <v>10172249</v>
      </c>
      <c r="D92" s="53" t="s">
        <v>284</v>
      </c>
      <c r="E92" s="53" t="s">
        <v>285</v>
      </c>
      <c r="F92" s="53" t="s">
        <v>286</v>
      </c>
      <c r="G92" s="3">
        <v>9.9000000000000005E-2</v>
      </c>
      <c r="H92" s="57">
        <v>46163</v>
      </c>
      <c r="I92" s="21" t="b">
        <v>1</v>
      </c>
      <c r="J92" s="63" t="s">
        <v>230</v>
      </c>
      <c r="K92" s="62">
        <v>46155</v>
      </c>
      <c r="L92" s="62">
        <v>46162</v>
      </c>
      <c r="M92" s="62">
        <v>46176</v>
      </c>
      <c r="N92" s="62">
        <v>46182</v>
      </c>
      <c r="O92" s="21" t="b">
        <v>0</v>
      </c>
      <c r="P92" s="21" t="b">
        <v>0</v>
      </c>
      <c r="Q92" s="17"/>
      <c r="R92" s="139">
        <v>46234</v>
      </c>
      <c r="S92" s="136" t="s">
        <v>1209</v>
      </c>
    </row>
    <row r="93" spans="1:20" ht="21.4" x14ac:dyDescent="0.3">
      <c r="A93" s="23" t="s">
        <v>197</v>
      </c>
      <c r="B93" s="58" t="s">
        <v>174</v>
      </c>
      <c r="C93" s="53" t="s">
        <v>1313</v>
      </c>
      <c r="D93" s="53" t="s">
        <v>284</v>
      </c>
      <c r="E93" s="53" t="s">
        <v>285</v>
      </c>
      <c r="F93" s="53" t="s">
        <v>286</v>
      </c>
      <c r="G93" s="3">
        <v>0.14199999999999999</v>
      </c>
      <c r="H93" s="57">
        <v>46161</v>
      </c>
      <c r="I93" s="21" t="b">
        <v>0</v>
      </c>
      <c r="J93" s="63" t="s">
        <v>98</v>
      </c>
      <c r="K93" s="62">
        <v>46140</v>
      </c>
      <c r="L93" s="62">
        <v>46148</v>
      </c>
      <c r="M93" s="62">
        <v>46162</v>
      </c>
      <c r="N93" s="62">
        <v>46168</v>
      </c>
      <c r="O93" s="21" t="b">
        <v>1</v>
      </c>
      <c r="P93" s="21" t="b">
        <v>1</v>
      </c>
      <c r="Q93" s="57">
        <v>46273</v>
      </c>
      <c r="R93" s="139">
        <v>46204.240972222222</v>
      </c>
      <c r="S93" s="136">
        <v>3.81</v>
      </c>
    </row>
    <row r="94" spans="1:20" ht="21.4" x14ac:dyDescent="0.3">
      <c r="A94" s="23" t="s">
        <v>199</v>
      </c>
      <c r="B94" s="56" t="s">
        <v>79</v>
      </c>
      <c r="C94" s="53" t="s">
        <v>332</v>
      </c>
      <c r="D94" s="53" t="s">
        <v>284</v>
      </c>
      <c r="E94" s="53" t="s">
        <v>285</v>
      </c>
      <c r="F94" s="53" t="s">
        <v>286</v>
      </c>
      <c r="G94" s="3">
        <v>9.5000000000000001E-2</v>
      </c>
      <c r="H94" s="57">
        <v>46168</v>
      </c>
      <c r="I94" s="21" t="b">
        <v>1</v>
      </c>
      <c r="J94" s="63" t="s">
        <v>143</v>
      </c>
      <c r="K94" s="62">
        <v>46134</v>
      </c>
      <c r="L94" s="62">
        <v>46142</v>
      </c>
      <c r="M94" s="62">
        <v>46157</v>
      </c>
      <c r="N94" s="62">
        <v>46163</v>
      </c>
      <c r="O94" s="21" t="b">
        <v>0</v>
      </c>
      <c r="P94" s="21" t="b">
        <v>0</v>
      </c>
      <c r="Q94" s="17"/>
      <c r="R94" s="139">
        <v>46204.455555555556</v>
      </c>
      <c r="S94" s="136">
        <v>11.769</v>
      </c>
    </row>
    <row r="95" spans="1:20" ht="21.4" x14ac:dyDescent="0.45">
      <c r="A95" s="23" t="s">
        <v>200</v>
      </c>
      <c r="B95" s="58" t="s">
        <v>174</v>
      </c>
      <c r="C95" s="53" t="s">
        <v>1295</v>
      </c>
      <c r="D95" s="53" t="s">
        <v>284</v>
      </c>
      <c r="E95" s="53" t="s">
        <v>285</v>
      </c>
      <c r="F95" s="53" t="s">
        <v>286</v>
      </c>
      <c r="G95" s="3">
        <v>8.5999999999999993E-2</v>
      </c>
      <c r="H95" s="57">
        <v>46161</v>
      </c>
      <c r="I95" s="21" t="b">
        <v>1</v>
      </c>
      <c r="J95" s="63" t="s">
        <v>98</v>
      </c>
      <c r="K95" s="62">
        <v>46140</v>
      </c>
      <c r="L95" s="62">
        <v>46148</v>
      </c>
      <c r="M95" s="62">
        <v>46162</v>
      </c>
      <c r="N95" s="62">
        <v>46168</v>
      </c>
      <c r="O95" s="21" t="b">
        <v>1</v>
      </c>
      <c r="P95" s="21" t="b">
        <v>1</v>
      </c>
      <c r="Q95" s="146">
        <v>46216</v>
      </c>
      <c r="R95" s="139">
        <v>46204.240972222222</v>
      </c>
      <c r="S95" s="136">
        <v>8.2000000000000003E-2</v>
      </c>
      <c r="T95" s="147" t="s">
        <v>1297</v>
      </c>
    </row>
    <row r="96" spans="1:20" ht="21.4" x14ac:dyDescent="0.3">
      <c r="A96" s="23" t="s">
        <v>201</v>
      </c>
      <c r="B96" s="56" t="s">
        <v>79</v>
      </c>
      <c r="C96" s="53" t="s">
        <v>333</v>
      </c>
      <c r="D96" s="53" t="s">
        <v>284</v>
      </c>
      <c r="E96" s="53" t="s">
        <v>285</v>
      </c>
      <c r="F96" s="53" t="s">
        <v>286</v>
      </c>
      <c r="G96" s="3">
        <v>0.104</v>
      </c>
      <c r="H96" s="57">
        <v>46168</v>
      </c>
      <c r="I96" s="21" t="b">
        <v>1</v>
      </c>
      <c r="J96" s="63" t="s">
        <v>143</v>
      </c>
      <c r="K96" s="62">
        <v>46134</v>
      </c>
      <c r="L96" s="62">
        <v>46142</v>
      </c>
      <c r="M96" s="62">
        <v>46157</v>
      </c>
      <c r="N96" s="62">
        <v>46163</v>
      </c>
      <c r="O96" s="21" t="b">
        <v>0</v>
      </c>
      <c r="P96" s="21" t="b">
        <v>0</v>
      </c>
      <c r="Q96" s="17"/>
      <c r="R96" s="139">
        <v>46204.697916666664</v>
      </c>
      <c r="S96" s="136">
        <v>2.952</v>
      </c>
    </row>
    <row r="97" spans="1:20" ht="21.4" x14ac:dyDescent="0.3">
      <c r="A97" s="23" t="s">
        <v>202</v>
      </c>
      <c r="B97" s="58" t="s">
        <v>174</v>
      </c>
      <c r="C97" s="53" t="s">
        <v>334</v>
      </c>
      <c r="D97" s="53" t="s">
        <v>284</v>
      </c>
      <c r="E97" s="53" t="s">
        <v>285</v>
      </c>
      <c r="F97" s="53" t="s">
        <v>286</v>
      </c>
      <c r="G97" s="3">
        <v>8.5999999999999993E-2</v>
      </c>
      <c r="H97" s="57">
        <v>46161</v>
      </c>
      <c r="I97" s="21" t="b">
        <v>1</v>
      </c>
      <c r="J97" s="63" t="s">
        <v>98</v>
      </c>
      <c r="K97" s="62">
        <v>46140</v>
      </c>
      <c r="L97" s="62">
        <v>46148</v>
      </c>
      <c r="M97" s="62">
        <v>46162</v>
      </c>
      <c r="N97" s="62">
        <v>46168</v>
      </c>
      <c r="O97" s="21" t="b">
        <v>1</v>
      </c>
      <c r="P97" s="21" t="b">
        <v>1</v>
      </c>
      <c r="Q97" s="57">
        <v>46216</v>
      </c>
      <c r="R97" s="139">
        <v>46204.657638888886</v>
      </c>
      <c r="S97" s="136">
        <v>8.5999999999999993E-2</v>
      </c>
    </row>
    <row r="98" spans="1:20" ht="21.4" x14ac:dyDescent="0.3">
      <c r="A98" s="23" t="s">
        <v>171</v>
      </c>
      <c r="B98" s="56" t="s">
        <v>79</v>
      </c>
      <c r="C98" s="53" t="s">
        <v>335</v>
      </c>
      <c r="D98" s="53" t="s">
        <v>284</v>
      </c>
      <c r="E98" s="53" t="s">
        <v>285</v>
      </c>
      <c r="F98" s="53" t="s">
        <v>286</v>
      </c>
      <c r="G98" s="3">
        <v>8.2000000000000003E-2</v>
      </c>
      <c r="H98" s="57">
        <v>46168</v>
      </c>
      <c r="I98" s="21" t="b">
        <v>1</v>
      </c>
      <c r="J98" s="63" t="s">
        <v>143</v>
      </c>
      <c r="K98" s="62">
        <v>46134</v>
      </c>
      <c r="L98" s="62">
        <v>46142</v>
      </c>
      <c r="M98" s="62">
        <v>46157</v>
      </c>
      <c r="N98" s="62">
        <v>46163</v>
      </c>
      <c r="O98" s="21" t="b">
        <v>0</v>
      </c>
      <c r="P98" s="21" t="b">
        <v>0</v>
      </c>
      <c r="Q98" s="17"/>
      <c r="R98" s="139">
        <v>46204.699305555558</v>
      </c>
      <c r="S98" s="136">
        <v>32.673999999999999</v>
      </c>
    </row>
    <row r="99" spans="1:20" ht="21.4" x14ac:dyDescent="0.3">
      <c r="A99" s="23" t="s">
        <v>173</v>
      </c>
      <c r="B99" s="58" t="s">
        <v>174</v>
      </c>
      <c r="C99" s="53">
        <v>10172259</v>
      </c>
      <c r="D99" s="53" t="s">
        <v>284</v>
      </c>
      <c r="E99" s="53" t="s">
        <v>285</v>
      </c>
      <c r="F99" s="53" t="s">
        <v>286</v>
      </c>
      <c r="G99" s="3">
        <v>0.10199999999999999</v>
      </c>
      <c r="H99" s="57">
        <v>46161</v>
      </c>
      <c r="I99" s="21" t="b">
        <v>1</v>
      </c>
      <c r="J99" s="63" t="s">
        <v>98</v>
      </c>
      <c r="K99" s="62">
        <v>46140</v>
      </c>
      <c r="L99" s="62">
        <v>46148</v>
      </c>
      <c r="M99" s="62">
        <v>46162</v>
      </c>
      <c r="N99" s="62">
        <v>46168</v>
      </c>
      <c r="O99" s="21" t="b">
        <v>0</v>
      </c>
      <c r="P99" s="21" t="b">
        <v>0</v>
      </c>
      <c r="Q99" s="17"/>
      <c r="R99" s="139">
        <v>46204.657638888886</v>
      </c>
      <c r="S99" s="136">
        <v>4.1719999999999997</v>
      </c>
    </row>
    <row r="100" spans="1:20" ht="21.4" x14ac:dyDescent="0.3">
      <c r="A100" s="23" t="s">
        <v>175</v>
      </c>
      <c r="B100" s="56" t="s">
        <v>79</v>
      </c>
      <c r="C100" s="53" t="s">
        <v>336</v>
      </c>
      <c r="D100" s="53" t="s">
        <v>284</v>
      </c>
      <c r="E100" s="53" t="s">
        <v>285</v>
      </c>
      <c r="F100" s="53" t="s">
        <v>286</v>
      </c>
      <c r="G100" s="3">
        <v>0.10100000000000001</v>
      </c>
      <c r="H100" s="57">
        <v>46168</v>
      </c>
      <c r="I100" s="21" t="b">
        <v>1</v>
      </c>
      <c r="J100" s="63" t="s">
        <v>143</v>
      </c>
      <c r="K100" s="62">
        <v>46134</v>
      </c>
      <c r="L100" s="62">
        <v>46142</v>
      </c>
      <c r="M100" s="62">
        <v>46157</v>
      </c>
      <c r="N100" s="62">
        <v>46163</v>
      </c>
      <c r="O100" s="21" t="b">
        <v>0</v>
      </c>
      <c r="P100" s="21" t="b">
        <v>0</v>
      </c>
      <c r="Q100" s="17"/>
      <c r="R100" s="139">
        <v>46204.459027777775</v>
      </c>
      <c r="S100" s="136">
        <v>4.3360000000000003</v>
      </c>
    </row>
    <row r="101" spans="1:20" ht="21.4" x14ac:dyDescent="0.3">
      <c r="A101" s="23" t="s">
        <v>176</v>
      </c>
      <c r="B101" s="58" t="s">
        <v>174</v>
      </c>
      <c r="C101" s="53">
        <v>10172254</v>
      </c>
      <c r="D101" s="53" t="s">
        <v>284</v>
      </c>
      <c r="E101" s="53" t="s">
        <v>285</v>
      </c>
      <c r="F101" s="53" t="s">
        <v>286</v>
      </c>
      <c r="G101" s="3">
        <v>0.10199999999999999</v>
      </c>
      <c r="H101" s="57">
        <v>46161</v>
      </c>
      <c r="I101" s="21" t="b">
        <v>1</v>
      </c>
      <c r="J101" s="63" t="s">
        <v>98</v>
      </c>
      <c r="K101" s="62">
        <v>46140</v>
      </c>
      <c r="L101" s="62">
        <v>46148</v>
      </c>
      <c r="M101" s="62">
        <v>46162</v>
      </c>
      <c r="N101" s="62">
        <v>46168</v>
      </c>
      <c r="O101" s="21" t="b">
        <v>0</v>
      </c>
      <c r="P101" s="21" t="b">
        <v>0</v>
      </c>
      <c r="Q101" s="17"/>
      <c r="R101" s="139">
        <v>46204.329861111109</v>
      </c>
      <c r="S101" s="136">
        <v>4.3209</v>
      </c>
    </row>
    <row r="102" spans="1:20" ht="21.4" x14ac:dyDescent="0.3">
      <c r="A102" s="23" t="s">
        <v>177</v>
      </c>
      <c r="B102" s="56" t="s">
        <v>79</v>
      </c>
      <c r="C102" s="53" t="s">
        <v>337</v>
      </c>
      <c r="D102" s="53" t="s">
        <v>284</v>
      </c>
      <c r="E102" s="53" t="s">
        <v>285</v>
      </c>
      <c r="F102" s="53" t="s">
        <v>286</v>
      </c>
      <c r="G102" s="3">
        <v>9.0999999999999998E-2</v>
      </c>
      <c r="H102" s="57">
        <v>46168</v>
      </c>
      <c r="I102" s="21" t="b">
        <v>1</v>
      </c>
      <c r="J102" s="63" t="s">
        <v>143</v>
      </c>
      <c r="K102" s="62">
        <v>46134</v>
      </c>
      <c r="L102" s="62">
        <v>46142</v>
      </c>
      <c r="M102" s="62">
        <v>46157</v>
      </c>
      <c r="N102" s="62">
        <v>46163</v>
      </c>
      <c r="O102" s="21" t="b">
        <v>0</v>
      </c>
      <c r="P102" s="21" t="b">
        <v>0</v>
      </c>
      <c r="Q102" s="17"/>
      <c r="R102" s="139">
        <v>46204.677083333336</v>
      </c>
      <c r="S102" s="136">
        <v>9.7119999999999997</v>
      </c>
    </row>
    <row r="103" spans="1:20" ht="21.4" x14ac:dyDescent="0.3">
      <c r="A103" s="23" t="s">
        <v>178</v>
      </c>
      <c r="B103" s="58" t="s">
        <v>174</v>
      </c>
      <c r="C103" s="53">
        <v>10172264</v>
      </c>
      <c r="D103" s="53" t="s">
        <v>284</v>
      </c>
      <c r="E103" s="53" t="s">
        <v>285</v>
      </c>
      <c r="F103" s="53" t="s">
        <v>286</v>
      </c>
      <c r="G103" s="3">
        <v>0.105</v>
      </c>
      <c r="H103" s="57">
        <v>46161</v>
      </c>
      <c r="I103" s="21" t="b">
        <v>1</v>
      </c>
      <c r="J103" s="63" t="s">
        <v>98</v>
      </c>
      <c r="K103" s="62">
        <v>46140</v>
      </c>
      <c r="L103" s="62">
        <v>46148</v>
      </c>
      <c r="M103" s="62">
        <v>46162</v>
      </c>
      <c r="N103" s="62">
        <v>46168</v>
      </c>
      <c r="O103" s="21" t="b">
        <v>0</v>
      </c>
      <c r="P103" s="21" t="b">
        <v>0</v>
      </c>
      <c r="Q103" s="17"/>
      <c r="R103" s="139">
        <v>46204.330555555556</v>
      </c>
      <c r="S103" s="136">
        <v>4.1757999999999997</v>
      </c>
    </row>
    <row r="104" spans="1:20" ht="21.4" x14ac:dyDescent="0.3">
      <c r="A104" s="23" t="s">
        <v>179</v>
      </c>
      <c r="B104" s="56" t="s">
        <v>79</v>
      </c>
      <c r="C104" s="53" t="s">
        <v>338</v>
      </c>
      <c r="D104" s="53" t="s">
        <v>284</v>
      </c>
      <c r="E104" s="53" t="s">
        <v>285</v>
      </c>
      <c r="F104" s="53" t="s">
        <v>286</v>
      </c>
      <c r="G104" s="3">
        <v>9.7000000000000003E-2</v>
      </c>
      <c r="H104" s="57">
        <v>46168</v>
      </c>
      <c r="I104" s="21" t="b">
        <v>1</v>
      </c>
      <c r="J104" s="63" t="s">
        <v>143</v>
      </c>
      <c r="K104" s="62">
        <v>46134</v>
      </c>
      <c r="L104" s="62">
        <v>46142</v>
      </c>
      <c r="M104" s="62">
        <v>46157</v>
      </c>
      <c r="N104" s="62">
        <v>46163</v>
      </c>
      <c r="O104" s="21" t="b">
        <v>1</v>
      </c>
      <c r="P104" s="21" t="b">
        <v>1</v>
      </c>
      <c r="Q104" s="57">
        <v>46216</v>
      </c>
      <c r="R104" s="139">
        <v>46204.677083333336</v>
      </c>
      <c r="S104" s="138">
        <v>9.7000000000000003E-2</v>
      </c>
    </row>
    <row r="105" spans="1:20" ht="21.4" x14ac:dyDescent="0.3">
      <c r="A105" s="23" t="s">
        <v>139</v>
      </c>
      <c r="B105" s="60" t="s">
        <v>27</v>
      </c>
      <c r="C105" s="53"/>
      <c r="D105" s="53" t="s">
        <v>284</v>
      </c>
      <c r="E105" s="53" t="s">
        <v>285</v>
      </c>
      <c r="F105" s="53" t="s">
        <v>286</v>
      </c>
      <c r="G105" s="3"/>
      <c r="H105" s="3"/>
      <c r="I105" s="21" t="b">
        <v>0</v>
      </c>
      <c r="J105" s="63" t="s">
        <v>107</v>
      </c>
      <c r="K105" s="62">
        <v>46213</v>
      </c>
      <c r="L105" s="62">
        <v>46220</v>
      </c>
      <c r="M105" s="62">
        <v>46234</v>
      </c>
      <c r="N105" s="62">
        <v>46240</v>
      </c>
      <c r="O105" s="21" t="b">
        <v>0</v>
      </c>
      <c r="P105" s="21" t="b">
        <v>0</v>
      </c>
      <c r="Q105" s="17"/>
      <c r="R105" s="136"/>
      <c r="S105" s="136"/>
    </row>
    <row r="106" spans="1:20" ht="21.4" x14ac:dyDescent="0.45">
      <c r="A106" s="23" t="s">
        <v>180</v>
      </c>
      <c r="B106" s="56" t="s">
        <v>79</v>
      </c>
      <c r="C106" s="53" t="s">
        <v>1296</v>
      </c>
      <c r="D106" s="53" t="s">
        <v>284</v>
      </c>
      <c r="E106" s="53" t="s">
        <v>285</v>
      </c>
      <c r="F106" s="53" t="s">
        <v>286</v>
      </c>
      <c r="G106" s="3">
        <v>0.104</v>
      </c>
      <c r="H106" s="57">
        <v>46168</v>
      </c>
      <c r="I106" s="21" t="b">
        <v>1</v>
      </c>
      <c r="J106" s="63" t="s">
        <v>143</v>
      </c>
      <c r="K106" s="62">
        <v>46134</v>
      </c>
      <c r="L106" s="62">
        <v>46142</v>
      </c>
      <c r="M106" s="62">
        <v>46157</v>
      </c>
      <c r="N106" s="62">
        <v>46163</v>
      </c>
      <c r="O106" s="21" t="b">
        <v>1</v>
      </c>
      <c r="P106" s="21" t="b">
        <v>1</v>
      </c>
      <c r="Q106" s="146">
        <v>46206</v>
      </c>
      <c r="R106" s="139">
        <v>46204.677083333336</v>
      </c>
      <c r="S106" s="138">
        <v>7.4999999999999997E-2</v>
      </c>
      <c r="T106" s="147" t="s">
        <v>1297</v>
      </c>
    </row>
    <row r="107" spans="1:20" ht="21.4" x14ac:dyDescent="0.3">
      <c r="A107" s="23" t="s">
        <v>141</v>
      </c>
      <c r="B107" s="60" t="s">
        <v>27</v>
      </c>
      <c r="C107" s="53"/>
      <c r="D107" s="53" t="s">
        <v>284</v>
      </c>
      <c r="E107" s="53" t="s">
        <v>285</v>
      </c>
      <c r="F107" s="53" t="s">
        <v>286</v>
      </c>
      <c r="G107" s="3"/>
      <c r="H107" s="3"/>
      <c r="I107" s="21" t="b">
        <v>0</v>
      </c>
      <c r="J107" s="63" t="s">
        <v>107</v>
      </c>
      <c r="K107" s="62">
        <v>46213</v>
      </c>
      <c r="L107" s="62">
        <v>46220</v>
      </c>
      <c r="M107" s="62">
        <v>46234</v>
      </c>
      <c r="N107" s="62">
        <v>46240</v>
      </c>
      <c r="O107" s="21" t="b">
        <v>0</v>
      </c>
      <c r="P107" s="21" t="b">
        <v>0</v>
      </c>
      <c r="Q107" s="17"/>
      <c r="R107" s="136"/>
      <c r="S107" s="136"/>
    </row>
    <row r="108" spans="1:20" ht="21.4" x14ac:dyDescent="0.3">
      <c r="A108" s="23" t="s">
        <v>142</v>
      </c>
      <c r="B108" s="56" t="s">
        <v>79</v>
      </c>
      <c r="C108" s="53" t="s">
        <v>340</v>
      </c>
      <c r="D108" s="53" t="s">
        <v>284</v>
      </c>
      <c r="E108" s="53" t="s">
        <v>285</v>
      </c>
      <c r="F108" s="53" t="s">
        <v>286</v>
      </c>
      <c r="G108" s="3">
        <v>8.1000000000000003E-2</v>
      </c>
      <c r="H108" s="57">
        <v>46168</v>
      </c>
      <c r="I108" s="21" t="b">
        <v>1</v>
      </c>
      <c r="J108" s="63" t="s">
        <v>143</v>
      </c>
      <c r="K108" s="62">
        <v>46134</v>
      </c>
      <c r="L108" s="62">
        <v>46142</v>
      </c>
      <c r="M108" s="62">
        <v>46157</v>
      </c>
      <c r="N108" s="62">
        <v>46163</v>
      </c>
      <c r="O108" s="21" t="b">
        <v>0</v>
      </c>
      <c r="P108" s="21" t="b">
        <v>0</v>
      </c>
      <c r="Q108" s="17"/>
      <c r="R108" s="137">
        <v>46204.702777777777</v>
      </c>
      <c r="S108" s="138">
        <v>20.81</v>
      </c>
    </row>
    <row r="109" spans="1:20" ht="21.4" x14ac:dyDescent="0.3">
      <c r="A109" s="23" t="s">
        <v>144</v>
      </c>
      <c r="B109" s="60" t="s">
        <v>27</v>
      </c>
      <c r="C109" s="53"/>
      <c r="D109" s="53" t="s">
        <v>284</v>
      </c>
      <c r="E109" s="53" t="s">
        <v>285</v>
      </c>
      <c r="F109" s="53" t="s">
        <v>286</v>
      </c>
      <c r="G109" s="3"/>
      <c r="H109" s="3"/>
      <c r="I109" s="21" t="b">
        <v>0</v>
      </c>
      <c r="J109" s="63" t="s">
        <v>107</v>
      </c>
      <c r="K109" s="62">
        <v>46213</v>
      </c>
      <c r="L109" s="62">
        <v>46220</v>
      </c>
      <c r="M109" s="62">
        <v>46234</v>
      </c>
      <c r="N109" s="62">
        <v>46240</v>
      </c>
      <c r="O109" s="21" t="b">
        <v>0</v>
      </c>
      <c r="P109" s="21" t="b">
        <v>0</v>
      </c>
      <c r="Q109" s="17"/>
      <c r="R109" s="136"/>
      <c r="S109" s="136"/>
    </row>
    <row r="110" spans="1:20" ht="21.4" x14ac:dyDescent="0.3">
      <c r="A110" s="23" t="s">
        <v>145</v>
      </c>
      <c r="B110" s="56" t="s">
        <v>79</v>
      </c>
      <c r="C110" s="53" t="s">
        <v>341</v>
      </c>
      <c r="D110" s="53" t="s">
        <v>284</v>
      </c>
      <c r="E110" s="53" t="s">
        <v>285</v>
      </c>
      <c r="F110" s="53" t="s">
        <v>286</v>
      </c>
      <c r="G110" s="3">
        <v>6.8000000000000005E-2</v>
      </c>
      <c r="H110" s="57">
        <v>46142</v>
      </c>
      <c r="I110" s="21" t="b">
        <v>1</v>
      </c>
      <c r="J110" s="63" t="s">
        <v>143</v>
      </c>
      <c r="K110" s="62">
        <v>46134</v>
      </c>
      <c r="L110" s="62">
        <v>46142</v>
      </c>
      <c r="M110" s="62">
        <v>46157</v>
      </c>
      <c r="N110" s="62">
        <v>46163</v>
      </c>
      <c r="O110" s="21" t="b">
        <v>1</v>
      </c>
      <c r="P110" s="21" t="b">
        <v>1</v>
      </c>
      <c r="Q110" s="57">
        <v>46206</v>
      </c>
      <c r="R110" s="137">
        <v>46204.702777777777</v>
      </c>
      <c r="S110" s="138">
        <v>6.8000000000000005E-2</v>
      </c>
    </row>
    <row r="111" spans="1:20" ht="21.4" x14ac:dyDescent="0.3">
      <c r="A111" s="23" t="s">
        <v>146</v>
      </c>
      <c r="B111" s="60" t="s">
        <v>27</v>
      </c>
      <c r="C111" s="53"/>
      <c r="D111" s="53" t="s">
        <v>284</v>
      </c>
      <c r="E111" s="53" t="s">
        <v>285</v>
      </c>
      <c r="F111" s="53" t="s">
        <v>286</v>
      </c>
      <c r="G111" s="3"/>
      <c r="H111" s="3"/>
      <c r="I111" s="21" t="b">
        <v>0</v>
      </c>
      <c r="J111" s="63" t="s">
        <v>107</v>
      </c>
      <c r="K111" s="62">
        <v>46213</v>
      </c>
      <c r="L111" s="62">
        <v>46220</v>
      </c>
      <c r="M111" s="62">
        <v>46234</v>
      </c>
      <c r="N111" s="62">
        <v>46240</v>
      </c>
      <c r="O111" s="21" t="b">
        <v>0</v>
      </c>
      <c r="P111" s="21" t="b">
        <v>0</v>
      </c>
      <c r="Q111" s="17"/>
      <c r="R111" s="136"/>
      <c r="S111" s="136"/>
    </row>
    <row r="112" spans="1:20" ht="21.4" x14ac:dyDescent="0.3">
      <c r="A112" s="23" t="s">
        <v>147</v>
      </c>
      <c r="B112" s="56" t="s">
        <v>79</v>
      </c>
      <c r="C112" s="53" t="s">
        <v>342</v>
      </c>
      <c r="D112" s="53" t="s">
        <v>284</v>
      </c>
      <c r="E112" s="53" t="s">
        <v>285</v>
      </c>
      <c r="F112" s="53" t="s">
        <v>286</v>
      </c>
      <c r="G112" s="3">
        <v>6.8000000000000005E-2</v>
      </c>
      <c r="H112" s="57">
        <v>46142</v>
      </c>
      <c r="I112" s="21" t="b">
        <v>1</v>
      </c>
      <c r="J112" s="63" t="s">
        <v>143</v>
      </c>
      <c r="K112" s="62">
        <v>46134</v>
      </c>
      <c r="L112" s="62">
        <v>46142</v>
      </c>
      <c r="M112" s="62">
        <v>46157</v>
      </c>
      <c r="N112" s="62">
        <v>46163</v>
      </c>
      <c r="O112" s="21" t="b">
        <v>0</v>
      </c>
      <c r="P112" s="21" t="b">
        <v>0</v>
      </c>
      <c r="Q112" s="17"/>
      <c r="R112" s="139">
        <v>46204.462500000001</v>
      </c>
      <c r="S112" s="136">
        <v>8.8550000000000004</v>
      </c>
    </row>
    <row r="113" spans="1:19" ht="21.4" x14ac:dyDescent="0.3">
      <c r="A113" s="23" t="s">
        <v>105</v>
      </c>
      <c r="B113" s="60" t="s">
        <v>27</v>
      </c>
      <c r="C113" s="53"/>
      <c r="D113" s="53" t="s">
        <v>284</v>
      </c>
      <c r="E113" s="53" t="s">
        <v>285</v>
      </c>
      <c r="F113" s="53" t="s">
        <v>286</v>
      </c>
      <c r="G113" s="3"/>
      <c r="H113" s="3"/>
      <c r="I113" s="21" t="b">
        <v>0</v>
      </c>
      <c r="J113" s="63" t="s">
        <v>107</v>
      </c>
      <c r="K113" s="62">
        <v>46213</v>
      </c>
      <c r="L113" s="62">
        <v>46220</v>
      </c>
      <c r="M113" s="62">
        <v>46234</v>
      </c>
      <c r="N113" s="62">
        <v>46240</v>
      </c>
      <c r="O113" s="21" t="b">
        <v>0</v>
      </c>
      <c r="P113" s="21" t="b">
        <v>0</v>
      </c>
      <c r="Q113" s="17"/>
      <c r="R113" s="136"/>
      <c r="S113" s="136"/>
    </row>
    <row r="114" spans="1:19" ht="21.4" x14ac:dyDescent="0.3">
      <c r="A114" s="23" t="s">
        <v>148</v>
      </c>
      <c r="B114" s="56" t="s">
        <v>79</v>
      </c>
      <c r="C114" s="53" t="s">
        <v>343</v>
      </c>
      <c r="D114" s="53" t="s">
        <v>284</v>
      </c>
      <c r="E114" s="53" t="s">
        <v>285</v>
      </c>
      <c r="F114" s="53" t="s">
        <v>286</v>
      </c>
      <c r="G114" s="3">
        <v>9.0999999999999998E-2</v>
      </c>
      <c r="H114" s="57">
        <v>46142</v>
      </c>
      <c r="I114" s="21" t="b">
        <v>1</v>
      </c>
      <c r="J114" s="63" t="s">
        <v>80</v>
      </c>
      <c r="K114" s="62">
        <v>46125</v>
      </c>
      <c r="L114" s="62">
        <v>46132</v>
      </c>
      <c r="M114" s="62">
        <v>46148</v>
      </c>
      <c r="N114" s="62">
        <v>46154</v>
      </c>
      <c r="O114" s="21" t="b">
        <v>0</v>
      </c>
      <c r="P114" s="21" t="b">
        <v>0</v>
      </c>
      <c r="Q114" s="17"/>
      <c r="R114" s="139">
        <v>46204.448611111111</v>
      </c>
      <c r="S114" s="136">
        <v>6.4509999999999996</v>
      </c>
    </row>
    <row r="115" spans="1:19" ht="21.4" x14ac:dyDescent="0.3">
      <c r="A115" s="23" t="s">
        <v>108</v>
      </c>
      <c r="B115" s="60" t="s">
        <v>27</v>
      </c>
      <c r="C115" s="53"/>
      <c r="D115" s="53" t="s">
        <v>284</v>
      </c>
      <c r="E115" s="53" t="s">
        <v>285</v>
      </c>
      <c r="F115" s="53" t="s">
        <v>286</v>
      </c>
      <c r="G115" s="3"/>
      <c r="H115" s="3"/>
      <c r="I115" s="21" t="b">
        <v>0</v>
      </c>
      <c r="J115" s="63" t="s">
        <v>107</v>
      </c>
      <c r="K115" s="62">
        <v>46213</v>
      </c>
      <c r="L115" s="62">
        <v>46220</v>
      </c>
      <c r="M115" s="62">
        <v>46234</v>
      </c>
      <c r="N115" s="62">
        <v>46240</v>
      </c>
      <c r="O115" s="21" t="b">
        <v>0</v>
      </c>
      <c r="P115" s="21" t="b">
        <v>0</v>
      </c>
      <c r="Q115" s="17"/>
      <c r="R115" s="136"/>
      <c r="S115" s="136"/>
    </row>
    <row r="116" spans="1:19" ht="21.4" x14ac:dyDescent="0.3">
      <c r="A116" s="23" t="s">
        <v>149</v>
      </c>
      <c r="B116" s="56" t="s">
        <v>79</v>
      </c>
      <c r="C116" s="53" t="s">
        <v>344</v>
      </c>
      <c r="D116" s="53" t="s">
        <v>284</v>
      </c>
      <c r="E116" s="53" t="s">
        <v>285</v>
      </c>
      <c r="F116" s="53" t="s">
        <v>286</v>
      </c>
      <c r="G116" s="3">
        <v>9.2999999999999999E-2</v>
      </c>
      <c r="H116" s="57">
        <v>46142</v>
      </c>
      <c r="I116" s="21" t="b">
        <v>1</v>
      </c>
      <c r="J116" s="63" t="s">
        <v>80</v>
      </c>
      <c r="K116" s="62">
        <v>46125</v>
      </c>
      <c r="L116" s="62">
        <v>46132</v>
      </c>
      <c r="M116" s="62">
        <v>46148</v>
      </c>
      <c r="N116" s="62">
        <v>46154</v>
      </c>
      <c r="O116" s="21" t="b">
        <v>0</v>
      </c>
      <c r="P116" s="21" t="b">
        <v>0</v>
      </c>
      <c r="Q116" s="17"/>
      <c r="R116" s="139">
        <v>46204.448611111111</v>
      </c>
      <c r="S116" s="136">
        <v>4.7329999999999997</v>
      </c>
    </row>
    <row r="117" spans="1:19" ht="21.4" x14ac:dyDescent="0.3">
      <c r="A117" s="23" t="s">
        <v>109</v>
      </c>
      <c r="B117" s="60" t="s">
        <v>27</v>
      </c>
      <c r="C117" s="53"/>
      <c r="D117" s="53" t="s">
        <v>284</v>
      </c>
      <c r="E117" s="53" t="s">
        <v>285</v>
      </c>
      <c r="F117" s="53" t="s">
        <v>286</v>
      </c>
      <c r="G117" s="3"/>
      <c r="H117" s="3"/>
      <c r="I117" s="21" t="b">
        <v>0</v>
      </c>
      <c r="J117" s="63" t="s">
        <v>107</v>
      </c>
      <c r="K117" s="62">
        <v>46213</v>
      </c>
      <c r="L117" s="62">
        <v>46220</v>
      </c>
      <c r="M117" s="62">
        <v>46234</v>
      </c>
      <c r="N117" s="62">
        <v>46240</v>
      </c>
      <c r="O117" s="21" t="b">
        <v>0</v>
      </c>
      <c r="P117" s="21" t="b">
        <v>0</v>
      </c>
      <c r="Q117" s="17"/>
      <c r="R117" s="136"/>
      <c r="S117" s="136"/>
    </row>
    <row r="118" spans="1:19" ht="21.4" x14ac:dyDescent="0.3">
      <c r="A118" s="23" t="s">
        <v>110</v>
      </c>
      <c r="B118" s="56" t="s">
        <v>79</v>
      </c>
      <c r="C118" s="53" t="s">
        <v>345</v>
      </c>
      <c r="D118" s="53" t="s">
        <v>284</v>
      </c>
      <c r="E118" s="53" t="s">
        <v>285</v>
      </c>
      <c r="F118" s="53" t="s">
        <v>286</v>
      </c>
      <c r="G118" s="3">
        <v>8.2000000000000003E-2</v>
      </c>
      <c r="H118" s="57">
        <v>46136</v>
      </c>
      <c r="I118" s="21" t="b">
        <v>1</v>
      </c>
      <c r="J118" s="63" t="s">
        <v>80</v>
      </c>
      <c r="K118" s="62">
        <v>46125</v>
      </c>
      <c r="L118" s="62">
        <v>46132</v>
      </c>
      <c r="M118" s="62">
        <v>46148</v>
      </c>
      <c r="N118" s="62">
        <v>46154</v>
      </c>
      <c r="O118" s="21" t="b">
        <v>0</v>
      </c>
      <c r="P118" s="21" t="b">
        <v>0</v>
      </c>
      <c r="Q118" s="17"/>
      <c r="R118" s="139">
        <v>46204.448611111111</v>
      </c>
      <c r="S118" s="136">
        <v>20.442</v>
      </c>
    </row>
    <row r="119" spans="1:19" ht="21.4" x14ac:dyDescent="0.3">
      <c r="A119" s="23" t="s">
        <v>111</v>
      </c>
      <c r="B119" s="60" t="s">
        <v>27</v>
      </c>
      <c r="C119" s="53"/>
      <c r="D119" s="53" t="s">
        <v>284</v>
      </c>
      <c r="E119" s="53" t="s">
        <v>285</v>
      </c>
      <c r="F119" s="53" t="s">
        <v>286</v>
      </c>
      <c r="G119" s="3"/>
      <c r="H119" s="3"/>
      <c r="I119" s="21" t="b">
        <v>0</v>
      </c>
      <c r="J119" s="63" t="s">
        <v>107</v>
      </c>
      <c r="K119" s="62">
        <v>46213</v>
      </c>
      <c r="L119" s="62">
        <v>46220</v>
      </c>
      <c r="M119" s="62">
        <v>46234</v>
      </c>
      <c r="N119" s="62">
        <v>46240</v>
      </c>
      <c r="O119" s="21" t="b">
        <v>0</v>
      </c>
      <c r="P119" s="21" t="b">
        <v>0</v>
      </c>
      <c r="Q119" s="17"/>
      <c r="R119" s="136"/>
      <c r="S119" s="136"/>
    </row>
    <row r="120" spans="1:19" ht="21.4" x14ac:dyDescent="0.3">
      <c r="A120" s="23" t="s">
        <v>112</v>
      </c>
      <c r="B120" s="56" t="s">
        <v>79</v>
      </c>
      <c r="C120" s="53" t="s">
        <v>346</v>
      </c>
      <c r="D120" s="53" t="s">
        <v>284</v>
      </c>
      <c r="E120" s="53" t="s">
        <v>285</v>
      </c>
      <c r="F120" s="53" t="s">
        <v>286</v>
      </c>
      <c r="G120" s="3">
        <v>0.223</v>
      </c>
      <c r="H120" s="57">
        <v>46136</v>
      </c>
      <c r="I120" s="21" t="b">
        <v>1</v>
      </c>
      <c r="J120" s="63" t="s">
        <v>80</v>
      </c>
      <c r="K120" s="62">
        <v>46125</v>
      </c>
      <c r="L120" s="62">
        <v>46132</v>
      </c>
      <c r="M120" s="62">
        <v>46148</v>
      </c>
      <c r="N120" s="62">
        <v>46154</v>
      </c>
      <c r="O120" s="21" t="b">
        <v>0</v>
      </c>
      <c r="P120" s="21" t="b">
        <v>0</v>
      </c>
      <c r="Q120" s="17"/>
      <c r="R120" s="139">
        <v>46204.448611111111</v>
      </c>
      <c r="S120" s="136">
        <v>0.223</v>
      </c>
    </row>
    <row r="121" spans="1:19" ht="21.4" x14ac:dyDescent="0.3">
      <c r="A121" s="23" t="s">
        <v>113</v>
      </c>
      <c r="B121" s="60" t="s">
        <v>27</v>
      </c>
      <c r="C121" s="53"/>
      <c r="D121" s="53" t="s">
        <v>284</v>
      </c>
      <c r="E121" s="53" t="s">
        <v>285</v>
      </c>
      <c r="F121" s="53" t="s">
        <v>286</v>
      </c>
      <c r="G121" s="3"/>
      <c r="H121" s="3"/>
      <c r="I121" s="21" t="b">
        <v>0</v>
      </c>
      <c r="J121" s="63" t="s">
        <v>76</v>
      </c>
      <c r="K121" s="62">
        <v>46227</v>
      </c>
      <c r="L121" s="62">
        <v>46234</v>
      </c>
      <c r="M121" s="62">
        <v>46249</v>
      </c>
      <c r="N121" s="62">
        <v>46255</v>
      </c>
      <c r="O121" s="21" t="b">
        <v>0</v>
      </c>
      <c r="P121" s="21" t="b">
        <v>0</v>
      </c>
      <c r="Q121" s="17"/>
      <c r="R121" s="136"/>
      <c r="S121" s="136"/>
    </row>
    <row r="122" spans="1:19" ht="21.4" x14ac:dyDescent="0.3">
      <c r="A122" s="23" t="s">
        <v>114</v>
      </c>
      <c r="B122" s="56" t="s">
        <v>79</v>
      </c>
      <c r="C122" s="53" t="s">
        <v>347</v>
      </c>
      <c r="D122" s="53" t="s">
        <v>284</v>
      </c>
      <c r="E122" s="53" t="s">
        <v>285</v>
      </c>
      <c r="F122" s="53" t="s">
        <v>286</v>
      </c>
      <c r="G122" s="3">
        <v>0.08</v>
      </c>
      <c r="H122" s="57">
        <v>46136</v>
      </c>
      <c r="I122" s="21" t="b">
        <v>1</v>
      </c>
      <c r="J122" s="63" t="s">
        <v>80</v>
      </c>
      <c r="K122" s="62">
        <v>46125</v>
      </c>
      <c r="L122" s="62">
        <v>46132</v>
      </c>
      <c r="M122" s="62">
        <v>46148</v>
      </c>
      <c r="N122" s="62">
        <v>46154</v>
      </c>
      <c r="O122" s="21" t="b">
        <v>0</v>
      </c>
      <c r="P122" s="21" t="b">
        <v>0</v>
      </c>
      <c r="Q122" s="17"/>
      <c r="R122" s="139">
        <v>46204.448611111111</v>
      </c>
      <c r="S122" s="136">
        <v>7.593</v>
      </c>
    </row>
    <row r="123" spans="1:19" ht="21.4" x14ac:dyDescent="0.3">
      <c r="A123" s="23" t="s">
        <v>74</v>
      </c>
      <c r="B123" s="60" t="s">
        <v>27</v>
      </c>
      <c r="C123" s="53"/>
      <c r="D123" s="53" t="s">
        <v>284</v>
      </c>
      <c r="E123" s="53" t="s">
        <v>285</v>
      </c>
      <c r="F123" s="53" t="s">
        <v>286</v>
      </c>
      <c r="G123" s="3"/>
      <c r="H123" s="3"/>
      <c r="I123" s="21" t="b">
        <v>0</v>
      </c>
      <c r="J123" s="63" t="s">
        <v>76</v>
      </c>
      <c r="K123" s="62">
        <v>46227</v>
      </c>
      <c r="L123" s="62">
        <v>46234</v>
      </c>
      <c r="M123" s="62">
        <v>46249</v>
      </c>
      <c r="N123" s="62">
        <v>46255</v>
      </c>
      <c r="O123" s="21" t="b">
        <v>0</v>
      </c>
      <c r="P123" s="21" t="b">
        <v>0</v>
      </c>
      <c r="Q123" s="17"/>
      <c r="R123" s="136"/>
      <c r="S123" s="136"/>
    </row>
    <row r="124" spans="1:19" ht="21.4" x14ac:dyDescent="0.3">
      <c r="A124" s="23" t="s">
        <v>115</v>
      </c>
      <c r="B124" s="56" t="s">
        <v>79</v>
      </c>
      <c r="C124" s="53" t="s">
        <v>348</v>
      </c>
      <c r="D124" s="53" t="s">
        <v>284</v>
      </c>
      <c r="E124" s="53" t="s">
        <v>285</v>
      </c>
      <c r="F124" s="53" t="s">
        <v>286</v>
      </c>
      <c r="G124" s="3">
        <v>7.0999999999999994E-2</v>
      </c>
      <c r="H124" s="57">
        <v>46168</v>
      </c>
      <c r="I124" s="21" t="b">
        <v>1</v>
      </c>
      <c r="J124" s="63" t="s">
        <v>80</v>
      </c>
      <c r="K124" s="62">
        <v>46125</v>
      </c>
      <c r="L124" s="62">
        <v>46132</v>
      </c>
      <c r="M124" s="62">
        <v>46148</v>
      </c>
      <c r="N124" s="62">
        <v>46154</v>
      </c>
      <c r="O124" s="21" t="b">
        <v>0</v>
      </c>
      <c r="P124" s="21" t="b">
        <v>0</v>
      </c>
      <c r="Q124" s="17"/>
      <c r="R124" s="139">
        <v>46204.448611111111</v>
      </c>
      <c r="S124" s="136">
        <v>3.8929999999999998</v>
      </c>
    </row>
    <row r="125" spans="1:19" ht="21.4" x14ac:dyDescent="0.3">
      <c r="A125" s="23" t="s">
        <v>77</v>
      </c>
      <c r="B125" s="60" t="s">
        <v>27</v>
      </c>
      <c r="C125" s="53"/>
      <c r="D125" s="53" t="s">
        <v>284</v>
      </c>
      <c r="E125" s="53" t="s">
        <v>285</v>
      </c>
      <c r="F125" s="53" t="s">
        <v>286</v>
      </c>
      <c r="G125" s="3"/>
      <c r="H125" s="3"/>
      <c r="I125" s="21" t="b">
        <v>0</v>
      </c>
      <c r="J125" s="63" t="s">
        <v>76</v>
      </c>
      <c r="K125" s="62">
        <v>46227</v>
      </c>
      <c r="L125" s="62">
        <v>46234</v>
      </c>
      <c r="M125" s="62">
        <v>46249</v>
      </c>
      <c r="N125" s="62">
        <v>46255</v>
      </c>
      <c r="O125" s="21" t="b">
        <v>0</v>
      </c>
      <c r="P125" s="21" t="b">
        <v>0</v>
      </c>
      <c r="Q125" s="17"/>
      <c r="R125" s="136"/>
      <c r="S125" s="136"/>
    </row>
    <row r="126" spans="1:19" ht="21.4" x14ac:dyDescent="0.3">
      <c r="A126" s="23" t="s">
        <v>78</v>
      </c>
      <c r="B126" s="56" t="s">
        <v>79</v>
      </c>
      <c r="C126" s="53" t="s">
        <v>349</v>
      </c>
      <c r="D126" s="53" t="s">
        <v>284</v>
      </c>
      <c r="E126" s="53" t="s">
        <v>285</v>
      </c>
      <c r="F126" s="53" t="s">
        <v>286</v>
      </c>
      <c r="G126" s="3">
        <v>9.0999999999999998E-2</v>
      </c>
      <c r="H126" s="57">
        <v>46168</v>
      </c>
      <c r="I126" s="21" t="b">
        <v>1</v>
      </c>
      <c r="J126" s="63" t="s">
        <v>80</v>
      </c>
      <c r="K126" s="62">
        <v>46125</v>
      </c>
      <c r="L126" s="62">
        <v>46132</v>
      </c>
      <c r="M126" s="62">
        <v>46148</v>
      </c>
      <c r="N126" s="62">
        <v>46154</v>
      </c>
      <c r="O126" s="21" t="b">
        <v>1</v>
      </c>
      <c r="P126" s="21" t="b">
        <v>1</v>
      </c>
      <c r="Q126" s="57">
        <v>46206</v>
      </c>
      <c r="R126" s="139">
        <v>46204.448611111111</v>
      </c>
      <c r="S126" s="136">
        <v>1.163</v>
      </c>
    </row>
    <row r="127" spans="1:19" ht="21.4" x14ac:dyDescent="0.3">
      <c r="A127" s="23" t="s">
        <v>81</v>
      </c>
      <c r="B127" s="60" t="s">
        <v>27</v>
      </c>
      <c r="C127" s="53"/>
      <c r="D127" s="53" t="s">
        <v>284</v>
      </c>
      <c r="E127" s="53" t="s">
        <v>285</v>
      </c>
      <c r="F127" s="53" t="s">
        <v>286</v>
      </c>
      <c r="G127" s="3"/>
      <c r="H127" s="3"/>
      <c r="I127" s="21" t="b">
        <v>0</v>
      </c>
      <c r="J127" s="63" t="s">
        <v>76</v>
      </c>
      <c r="K127" s="62">
        <v>46227</v>
      </c>
      <c r="L127" s="62">
        <v>46234</v>
      </c>
      <c r="M127" s="62">
        <v>46249</v>
      </c>
      <c r="N127" s="62">
        <v>46255</v>
      </c>
      <c r="O127" s="21" t="b">
        <v>0</v>
      </c>
      <c r="P127" s="21" t="b">
        <v>0</v>
      </c>
      <c r="Q127" s="17"/>
      <c r="R127" s="136"/>
      <c r="S127" s="136"/>
    </row>
    <row r="128" spans="1:19" ht="21.4" x14ac:dyDescent="0.3">
      <c r="A128" s="23" t="s">
        <v>82</v>
      </c>
      <c r="B128" s="56" t="s">
        <v>79</v>
      </c>
      <c r="C128" s="53" t="s">
        <v>350</v>
      </c>
      <c r="D128" s="53" t="s">
        <v>284</v>
      </c>
      <c r="E128" s="53" t="s">
        <v>285</v>
      </c>
      <c r="F128" s="53" t="s">
        <v>286</v>
      </c>
      <c r="G128" s="3">
        <v>7.5999999999999998E-2</v>
      </c>
      <c r="H128" s="57">
        <v>46168</v>
      </c>
      <c r="I128" s="21" t="b">
        <v>1</v>
      </c>
      <c r="J128" s="63" t="s">
        <v>80</v>
      </c>
      <c r="K128" s="62">
        <v>46125</v>
      </c>
      <c r="L128" s="62">
        <v>46132</v>
      </c>
      <c r="M128" s="62">
        <v>46148</v>
      </c>
      <c r="N128" s="62">
        <v>46154</v>
      </c>
      <c r="O128" s="21" t="b">
        <v>0</v>
      </c>
      <c r="P128" s="21" t="b">
        <v>0</v>
      </c>
      <c r="Q128" s="17"/>
      <c r="R128" s="139">
        <v>46204.448611111111</v>
      </c>
      <c r="S128" s="136">
        <v>22.7</v>
      </c>
    </row>
    <row r="129" spans="1:19" ht="21.4" x14ac:dyDescent="0.3">
      <c r="A129" s="23" t="s">
        <v>83</v>
      </c>
      <c r="B129" s="60" t="s">
        <v>27</v>
      </c>
      <c r="C129" s="53"/>
      <c r="D129" s="53" t="s">
        <v>284</v>
      </c>
      <c r="E129" s="53" t="s">
        <v>285</v>
      </c>
      <c r="F129" s="53" t="s">
        <v>286</v>
      </c>
      <c r="G129" s="3"/>
      <c r="H129" s="3"/>
      <c r="I129" s="21" t="b">
        <v>0</v>
      </c>
      <c r="J129" s="63" t="s">
        <v>76</v>
      </c>
      <c r="K129" s="62">
        <v>46227</v>
      </c>
      <c r="L129" s="62">
        <v>46234</v>
      </c>
      <c r="M129" s="62">
        <v>46249</v>
      </c>
      <c r="N129" s="62">
        <v>46255</v>
      </c>
      <c r="O129" s="21" t="b">
        <v>0</v>
      </c>
      <c r="P129" s="21" t="b">
        <v>0</v>
      </c>
      <c r="Q129" s="17"/>
      <c r="R129" s="136"/>
      <c r="S129" s="136"/>
    </row>
    <row r="130" spans="1:19" ht="21.4" x14ac:dyDescent="0.3">
      <c r="A130" s="23" t="s">
        <v>84</v>
      </c>
      <c r="B130" s="60" t="s">
        <v>27</v>
      </c>
      <c r="C130" s="53"/>
      <c r="D130" s="53" t="s">
        <v>284</v>
      </c>
      <c r="E130" s="53" t="s">
        <v>285</v>
      </c>
      <c r="F130" s="53" t="s">
        <v>286</v>
      </c>
      <c r="G130" s="3"/>
      <c r="H130" s="3"/>
      <c r="I130" s="21" t="b">
        <v>0</v>
      </c>
      <c r="J130" s="63" t="s">
        <v>76</v>
      </c>
      <c r="K130" s="62">
        <v>46227</v>
      </c>
      <c r="L130" s="62">
        <v>46234</v>
      </c>
      <c r="M130" s="62">
        <v>46249</v>
      </c>
      <c r="N130" s="62">
        <v>46255</v>
      </c>
      <c r="O130" s="21" t="b">
        <v>0</v>
      </c>
      <c r="P130" s="21" t="b">
        <v>0</v>
      </c>
      <c r="Q130" s="17"/>
      <c r="R130" s="136"/>
      <c r="S130" s="136"/>
    </row>
    <row r="131" spans="1:19" ht="21.4" x14ac:dyDescent="0.3">
      <c r="A131" s="23" t="s">
        <v>85</v>
      </c>
      <c r="B131" s="60" t="s">
        <v>27</v>
      </c>
      <c r="C131" s="53"/>
      <c r="D131" s="53" t="s">
        <v>284</v>
      </c>
      <c r="E131" s="53" t="s">
        <v>285</v>
      </c>
      <c r="F131" s="53" t="s">
        <v>286</v>
      </c>
      <c r="G131" s="3"/>
      <c r="H131" s="3"/>
      <c r="I131" s="21" t="b">
        <v>0</v>
      </c>
      <c r="J131" s="63" t="s">
        <v>76</v>
      </c>
      <c r="K131" s="62">
        <v>46227</v>
      </c>
      <c r="L131" s="62">
        <v>46234</v>
      </c>
      <c r="M131" s="62">
        <v>46249</v>
      </c>
      <c r="N131" s="62">
        <v>46255</v>
      </c>
      <c r="O131" s="21" t="b">
        <v>0</v>
      </c>
      <c r="P131" s="21" t="b">
        <v>0</v>
      </c>
      <c r="Q131" s="17"/>
      <c r="R131" s="136"/>
      <c r="S131" s="136"/>
    </row>
    <row r="132" spans="1:19" ht="21.4" x14ac:dyDescent="0.3">
      <c r="A132" s="23" t="s">
        <v>86</v>
      </c>
      <c r="B132" s="60" t="s">
        <v>27</v>
      </c>
      <c r="C132" s="53"/>
      <c r="D132" s="53" t="s">
        <v>284</v>
      </c>
      <c r="E132" s="53" t="s">
        <v>285</v>
      </c>
      <c r="F132" s="53" t="s">
        <v>286</v>
      </c>
      <c r="G132" s="3"/>
      <c r="H132" s="3"/>
      <c r="I132" s="21" t="b">
        <v>0</v>
      </c>
      <c r="J132" s="63" t="s">
        <v>76</v>
      </c>
      <c r="K132" s="62">
        <v>46227</v>
      </c>
      <c r="L132" s="62">
        <v>46234</v>
      </c>
      <c r="M132" s="62">
        <v>46249</v>
      </c>
      <c r="N132" s="62">
        <v>46255</v>
      </c>
      <c r="O132" s="21" t="b">
        <v>0</v>
      </c>
      <c r="P132" s="21" t="b">
        <v>0</v>
      </c>
      <c r="Q132" s="17"/>
      <c r="R132" s="136"/>
      <c r="S132" s="136"/>
    </row>
    <row r="133" spans="1:19" ht="21.4" x14ac:dyDescent="0.3">
      <c r="A133" s="23" t="s">
        <v>260</v>
      </c>
      <c r="B133" s="60" t="s">
        <v>27</v>
      </c>
      <c r="C133" s="53"/>
      <c r="D133" s="53" t="s">
        <v>284</v>
      </c>
      <c r="E133" s="53" t="s">
        <v>285</v>
      </c>
      <c r="F133" s="53" t="s">
        <v>286</v>
      </c>
      <c r="G133" s="3"/>
      <c r="H133" s="3"/>
      <c r="I133" s="21" t="b">
        <v>0</v>
      </c>
      <c r="J133" s="63" t="s">
        <v>262</v>
      </c>
      <c r="K133" s="62">
        <v>46242</v>
      </c>
      <c r="L133" s="62">
        <v>46251</v>
      </c>
      <c r="M133" s="62">
        <v>46265</v>
      </c>
      <c r="N133" s="62">
        <v>46270</v>
      </c>
      <c r="O133" s="21" t="b">
        <v>0</v>
      </c>
      <c r="P133" s="21" t="b">
        <v>0</v>
      </c>
      <c r="Q133" s="17"/>
      <c r="R133" s="136"/>
      <c r="S133" s="136"/>
    </row>
    <row r="134" spans="1:19" ht="21.4" x14ac:dyDescent="0.3">
      <c r="A134" s="23" t="s">
        <v>263</v>
      </c>
      <c r="B134" s="60" t="s">
        <v>27</v>
      </c>
      <c r="C134" s="53"/>
      <c r="D134" s="53" t="s">
        <v>284</v>
      </c>
      <c r="E134" s="53" t="s">
        <v>285</v>
      </c>
      <c r="F134" s="53" t="s">
        <v>286</v>
      </c>
      <c r="G134" s="3"/>
      <c r="H134" s="3"/>
      <c r="I134" s="21" t="b">
        <v>0</v>
      </c>
      <c r="J134" s="63" t="s">
        <v>262</v>
      </c>
      <c r="K134" s="62">
        <v>46242</v>
      </c>
      <c r="L134" s="62">
        <v>46251</v>
      </c>
      <c r="M134" s="62">
        <v>46265</v>
      </c>
      <c r="N134" s="62">
        <v>46270</v>
      </c>
      <c r="O134" s="21" t="b">
        <v>0</v>
      </c>
      <c r="P134" s="21" t="b">
        <v>0</v>
      </c>
      <c r="Q134" s="17"/>
      <c r="R134" s="136"/>
      <c r="S134" s="136"/>
    </row>
    <row r="135" spans="1:19" ht="21.4" x14ac:dyDescent="0.3">
      <c r="A135" s="23" t="s">
        <v>264</v>
      </c>
      <c r="B135" s="60" t="s">
        <v>27</v>
      </c>
      <c r="C135" s="53"/>
      <c r="D135" s="53" t="s">
        <v>284</v>
      </c>
      <c r="E135" s="53" t="s">
        <v>285</v>
      </c>
      <c r="F135" s="53" t="s">
        <v>286</v>
      </c>
      <c r="G135" s="3"/>
      <c r="H135" s="3"/>
      <c r="I135" s="21" t="b">
        <v>0</v>
      </c>
      <c r="J135" s="63" t="s">
        <v>262</v>
      </c>
      <c r="K135" s="62">
        <v>46242</v>
      </c>
      <c r="L135" s="62">
        <v>46251</v>
      </c>
      <c r="M135" s="62">
        <v>46265</v>
      </c>
      <c r="N135" s="62">
        <v>46270</v>
      </c>
      <c r="O135" s="21" t="b">
        <v>0</v>
      </c>
      <c r="P135" s="21" t="b">
        <v>0</v>
      </c>
      <c r="Q135" s="17"/>
      <c r="R135" s="136"/>
      <c r="S135" s="136"/>
    </row>
    <row r="136" spans="1:19" ht="21.4" x14ac:dyDescent="0.3">
      <c r="A136" s="23" t="s">
        <v>265</v>
      </c>
      <c r="B136" s="60" t="s">
        <v>27</v>
      </c>
      <c r="C136" s="53"/>
      <c r="D136" s="53" t="s">
        <v>284</v>
      </c>
      <c r="E136" s="53" t="s">
        <v>285</v>
      </c>
      <c r="F136" s="53" t="s">
        <v>286</v>
      </c>
      <c r="G136" s="3"/>
      <c r="H136" s="3"/>
      <c r="I136" s="21" t="b">
        <v>0</v>
      </c>
      <c r="J136" s="63" t="s">
        <v>262</v>
      </c>
      <c r="K136" s="62">
        <v>46242</v>
      </c>
      <c r="L136" s="62">
        <v>46251</v>
      </c>
      <c r="M136" s="62">
        <v>46265</v>
      </c>
      <c r="N136" s="62">
        <v>46270</v>
      </c>
      <c r="O136" s="21" t="b">
        <v>0</v>
      </c>
      <c r="P136" s="21" t="b">
        <v>0</v>
      </c>
      <c r="Q136" s="17"/>
      <c r="R136" s="136"/>
      <c r="S136" s="136"/>
    </row>
    <row r="137" spans="1:19" ht="21.4" x14ac:dyDescent="0.3">
      <c r="A137" s="23" t="s">
        <v>266</v>
      </c>
      <c r="B137" s="60" t="s">
        <v>27</v>
      </c>
      <c r="C137" s="53"/>
      <c r="D137" s="53" t="s">
        <v>284</v>
      </c>
      <c r="E137" s="53" t="s">
        <v>285</v>
      </c>
      <c r="F137" s="53" t="s">
        <v>286</v>
      </c>
      <c r="G137" s="3"/>
      <c r="H137" s="3"/>
      <c r="I137" s="21" t="b">
        <v>0</v>
      </c>
      <c r="J137" s="63" t="s">
        <v>262</v>
      </c>
      <c r="K137" s="62">
        <v>46242</v>
      </c>
      <c r="L137" s="62">
        <v>46251</v>
      </c>
      <c r="M137" s="62">
        <v>46265</v>
      </c>
      <c r="N137" s="62">
        <v>46270</v>
      </c>
      <c r="O137" s="21" t="b">
        <v>0</v>
      </c>
      <c r="P137" s="21" t="b">
        <v>0</v>
      </c>
      <c r="Q137" s="17"/>
      <c r="R137" s="136"/>
      <c r="S137" s="136"/>
    </row>
    <row r="138" spans="1:19" ht="21.4" x14ac:dyDescent="0.3">
      <c r="A138" s="23" t="s">
        <v>267</v>
      </c>
      <c r="B138" s="60" t="s">
        <v>27</v>
      </c>
      <c r="C138" s="53"/>
      <c r="D138" s="53" t="s">
        <v>284</v>
      </c>
      <c r="E138" s="53" t="s">
        <v>285</v>
      </c>
      <c r="F138" s="53" t="s">
        <v>286</v>
      </c>
      <c r="G138" s="3"/>
      <c r="H138" s="3"/>
      <c r="I138" s="21" t="b">
        <v>0</v>
      </c>
      <c r="J138" s="63" t="s">
        <v>262</v>
      </c>
      <c r="K138" s="62">
        <v>46242</v>
      </c>
      <c r="L138" s="62">
        <v>46251</v>
      </c>
      <c r="M138" s="62">
        <v>46265</v>
      </c>
      <c r="N138" s="62">
        <v>46270</v>
      </c>
      <c r="O138" s="21" t="b">
        <v>0</v>
      </c>
      <c r="P138" s="21" t="b">
        <v>0</v>
      </c>
      <c r="Q138" s="17"/>
      <c r="R138" s="136"/>
      <c r="S138" s="136"/>
    </row>
    <row r="139" spans="1:19" ht="21.4" x14ac:dyDescent="0.3">
      <c r="A139" s="23" t="s">
        <v>268</v>
      </c>
      <c r="B139" s="60" t="s">
        <v>27</v>
      </c>
      <c r="C139" s="53"/>
      <c r="D139" s="53" t="s">
        <v>284</v>
      </c>
      <c r="E139" s="53" t="s">
        <v>285</v>
      </c>
      <c r="F139" s="53" t="s">
        <v>286</v>
      </c>
      <c r="G139" s="3"/>
      <c r="H139" s="3"/>
      <c r="I139" s="21" t="b">
        <v>0</v>
      </c>
      <c r="J139" s="63" t="s">
        <v>262</v>
      </c>
      <c r="K139" s="62">
        <v>46242</v>
      </c>
      <c r="L139" s="62">
        <v>46251</v>
      </c>
      <c r="M139" s="62">
        <v>46265</v>
      </c>
      <c r="N139" s="62">
        <v>46270</v>
      </c>
      <c r="O139" s="21" t="b">
        <v>0</v>
      </c>
      <c r="P139" s="21" t="b">
        <v>0</v>
      </c>
      <c r="Q139" s="17"/>
      <c r="R139" s="136"/>
      <c r="S139" s="136"/>
    </row>
    <row r="140" spans="1:19" ht="21.4" x14ac:dyDescent="0.3">
      <c r="A140" s="23" t="s">
        <v>269</v>
      </c>
      <c r="B140" s="60" t="s">
        <v>27</v>
      </c>
      <c r="C140" s="53"/>
      <c r="D140" s="53" t="s">
        <v>284</v>
      </c>
      <c r="E140" s="53" t="s">
        <v>285</v>
      </c>
      <c r="F140" s="53" t="s">
        <v>286</v>
      </c>
      <c r="G140" s="3"/>
      <c r="H140" s="3"/>
      <c r="I140" s="21" t="b">
        <v>0</v>
      </c>
      <c r="J140" s="63" t="s">
        <v>262</v>
      </c>
      <c r="K140" s="62">
        <v>46242</v>
      </c>
      <c r="L140" s="62">
        <v>46251</v>
      </c>
      <c r="M140" s="62">
        <v>46265</v>
      </c>
      <c r="N140" s="62">
        <v>46270</v>
      </c>
      <c r="O140" s="21" t="b">
        <v>0</v>
      </c>
      <c r="P140" s="21" t="b">
        <v>0</v>
      </c>
      <c r="Q140" s="17"/>
      <c r="R140" s="136"/>
      <c r="S140" s="136"/>
    </row>
    <row r="141" spans="1:19" ht="21.4" x14ac:dyDescent="0.3">
      <c r="A141" s="23" t="s">
        <v>35</v>
      </c>
      <c r="B141" s="60" t="s">
        <v>27</v>
      </c>
      <c r="C141" s="53"/>
      <c r="D141" s="53" t="s">
        <v>284</v>
      </c>
      <c r="E141" s="53" t="s">
        <v>285</v>
      </c>
      <c r="F141" s="53" t="s">
        <v>286</v>
      </c>
      <c r="G141" s="3"/>
      <c r="H141" s="3"/>
      <c r="I141" s="21" t="b">
        <v>0</v>
      </c>
      <c r="J141" s="63" t="s">
        <v>37</v>
      </c>
      <c r="K141" s="62">
        <v>46273</v>
      </c>
      <c r="L141" s="62">
        <v>46280</v>
      </c>
      <c r="M141" s="62">
        <v>46295</v>
      </c>
      <c r="N141" s="62">
        <v>46301</v>
      </c>
      <c r="O141" s="21" t="b">
        <v>0</v>
      </c>
      <c r="P141" s="21" t="b">
        <v>0</v>
      </c>
      <c r="Q141" s="17"/>
      <c r="R141" s="136"/>
      <c r="S141" s="136"/>
    </row>
    <row r="142" spans="1:19" ht="21.4" x14ac:dyDescent="0.3">
      <c r="A142" s="23" t="s">
        <v>38</v>
      </c>
      <c r="B142" s="61" t="s">
        <v>19</v>
      </c>
      <c r="C142" s="53" t="s">
        <v>1300</v>
      </c>
      <c r="D142" s="53" t="s">
        <v>284</v>
      </c>
      <c r="E142" s="53" t="s">
        <v>285</v>
      </c>
      <c r="F142" s="53" t="s">
        <v>286</v>
      </c>
      <c r="G142" s="3">
        <v>0.104</v>
      </c>
      <c r="H142" s="57">
        <v>46258</v>
      </c>
      <c r="I142" s="21" t="b">
        <v>0</v>
      </c>
      <c r="J142" s="63" t="s">
        <v>39</v>
      </c>
      <c r="K142" s="62">
        <v>46259</v>
      </c>
      <c r="L142" s="62">
        <v>46266</v>
      </c>
      <c r="M142" s="62">
        <v>46280</v>
      </c>
      <c r="N142" s="62">
        <v>46286</v>
      </c>
      <c r="O142" s="21" t="b">
        <v>0</v>
      </c>
      <c r="P142" s="21" t="b">
        <v>0</v>
      </c>
      <c r="Q142" s="17"/>
      <c r="R142" s="136"/>
      <c r="S142" s="136"/>
    </row>
    <row r="143" spans="1:19" ht="21.4" x14ac:dyDescent="0.3">
      <c r="A143" s="23" t="s">
        <v>40</v>
      </c>
      <c r="B143" s="60" t="s">
        <v>27</v>
      </c>
      <c r="C143" s="53"/>
      <c r="D143" s="53"/>
      <c r="E143" s="53"/>
      <c r="F143" s="53"/>
      <c r="G143" s="3"/>
      <c r="H143" s="57"/>
      <c r="I143" s="21" t="b">
        <v>0</v>
      </c>
      <c r="J143" s="63" t="s">
        <v>37</v>
      </c>
      <c r="K143" s="62">
        <v>46273</v>
      </c>
      <c r="L143" s="62">
        <v>46280</v>
      </c>
      <c r="M143" s="62">
        <v>46295</v>
      </c>
      <c r="N143" s="62">
        <v>46301</v>
      </c>
      <c r="O143" s="21" t="b">
        <v>0</v>
      </c>
      <c r="P143" s="21" t="b">
        <v>0</v>
      </c>
      <c r="Q143" s="17"/>
      <c r="R143" s="136"/>
      <c r="S143" s="136"/>
    </row>
    <row r="144" spans="1:19" ht="21.4" x14ac:dyDescent="0.3">
      <c r="A144" s="23" t="s">
        <v>41</v>
      </c>
      <c r="B144" s="61" t="s">
        <v>19</v>
      </c>
      <c r="C144" s="53" t="s">
        <v>1301</v>
      </c>
      <c r="D144" s="53" t="s">
        <v>284</v>
      </c>
      <c r="E144" s="53" t="s">
        <v>285</v>
      </c>
      <c r="F144" s="53" t="s">
        <v>286</v>
      </c>
      <c r="G144" s="3">
        <v>0.10199999999999999</v>
      </c>
      <c r="H144" s="57">
        <v>46258</v>
      </c>
      <c r="I144" s="21" t="b">
        <v>0</v>
      </c>
      <c r="J144" s="63" t="s">
        <v>39</v>
      </c>
      <c r="K144" s="62">
        <v>46259</v>
      </c>
      <c r="L144" s="62">
        <v>46266</v>
      </c>
      <c r="M144" s="62">
        <v>46280</v>
      </c>
      <c r="N144" s="62">
        <v>46286</v>
      </c>
      <c r="O144" s="21" t="b">
        <v>0</v>
      </c>
      <c r="P144" s="21" t="b">
        <v>0</v>
      </c>
      <c r="Q144" s="17"/>
      <c r="R144" s="136"/>
      <c r="S144" s="136"/>
    </row>
    <row r="145" spans="1:19" ht="21.4" x14ac:dyDescent="0.3">
      <c r="A145" s="23" t="s">
        <v>42</v>
      </c>
      <c r="B145" s="60" t="s">
        <v>27</v>
      </c>
      <c r="I145" s="21" t="b">
        <v>0</v>
      </c>
      <c r="J145" s="63" t="s">
        <v>37</v>
      </c>
      <c r="K145" s="62">
        <v>46273</v>
      </c>
      <c r="L145" s="62">
        <v>46280</v>
      </c>
      <c r="M145" s="62">
        <v>46295</v>
      </c>
      <c r="N145" s="62">
        <v>46301</v>
      </c>
      <c r="O145" s="21" t="b">
        <v>0</v>
      </c>
      <c r="P145" s="21" t="b">
        <v>0</v>
      </c>
      <c r="Q145" s="17"/>
      <c r="R145" s="136"/>
      <c r="S145" s="136"/>
    </row>
    <row r="146" spans="1:19" ht="21.4" x14ac:dyDescent="0.3">
      <c r="A146" s="23" t="s">
        <v>43</v>
      </c>
      <c r="B146" s="61" t="s">
        <v>19</v>
      </c>
      <c r="C146" s="53" t="s">
        <v>1306</v>
      </c>
      <c r="D146" s="53" t="s">
        <v>284</v>
      </c>
      <c r="E146" s="53" t="s">
        <v>285</v>
      </c>
      <c r="F146" s="53" t="s">
        <v>286</v>
      </c>
      <c r="G146" s="3">
        <v>9.9000000000000005E-2</v>
      </c>
      <c r="H146" s="57">
        <v>46258</v>
      </c>
      <c r="I146" s="21" t="b">
        <v>0</v>
      </c>
      <c r="J146" s="63" t="s">
        <v>39</v>
      </c>
      <c r="K146" s="62">
        <v>46259</v>
      </c>
      <c r="L146" s="62">
        <v>46266</v>
      </c>
      <c r="M146" s="62">
        <v>46280</v>
      </c>
      <c r="N146" s="62">
        <v>46286</v>
      </c>
      <c r="O146" s="21" t="b">
        <v>0</v>
      </c>
      <c r="P146" s="21" t="b">
        <v>0</v>
      </c>
      <c r="Q146" s="17"/>
      <c r="R146" s="136"/>
      <c r="S146" s="136"/>
    </row>
    <row r="147" spans="1:19" ht="21.4" x14ac:dyDescent="0.3">
      <c r="A147" s="23" t="s">
        <v>45</v>
      </c>
      <c r="B147" s="60" t="s">
        <v>27</v>
      </c>
      <c r="C147" s="53" t="s">
        <v>1302</v>
      </c>
      <c r="D147" s="53" t="s">
        <v>284</v>
      </c>
      <c r="E147" s="53" t="s">
        <v>285</v>
      </c>
      <c r="F147" s="53" t="s">
        <v>286</v>
      </c>
      <c r="G147" s="3">
        <v>8.5999999999999993E-2</v>
      </c>
      <c r="H147" s="57">
        <v>46258</v>
      </c>
      <c r="I147" s="21" t="b">
        <v>0</v>
      </c>
      <c r="J147" s="63" t="s">
        <v>37</v>
      </c>
      <c r="K147" s="62">
        <v>46273</v>
      </c>
      <c r="L147" s="62">
        <v>46280</v>
      </c>
      <c r="M147" s="62">
        <v>46295</v>
      </c>
      <c r="N147" s="62">
        <v>46301</v>
      </c>
      <c r="O147" s="21" t="b">
        <v>0</v>
      </c>
      <c r="P147" s="21" t="b">
        <v>0</v>
      </c>
      <c r="Q147" s="17"/>
      <c r="R147" s="136"/>
      <c r="S147" s="136"/>
    </row>
    <row r="148" spans="1:19" ht="21.4" x14ac:dyDescent="0.3">
      <c r="A148" s="23" t="s">
        <v>44</v>
      </c>
      <c r="B148" s="61" t="s">
        <v>19</v>
      </c>
      <c r="C148" s="53"/>
      <c r="D148" s="53" t="s">
        <v>284</v>
      </c>
      <c r="E148" s="53" t="s">
        <v>285</v>
      </c>
      <c r="F148" s="53" t="s">
        <v>286</v>
      </c>
      <c r="G148" s="3"/>
      <c r="H148" s="3"/>
      <c r="I148" s="21" t="b">
        <v>0</v>
      </c>
      <c r="J148" s="63" t="s">
        <v>39</v>
      </c>
      <c r="K148" s="62">
        <v>46259</v>
      </c>
      <c r="L148" s="62">
        <v>46266</v>
      </c>
      <c r="M148" s="62">
        <v>46280</v>
      </c>
      <c r="N148" s="62">
        <v>46286</v>
      </c>
      <c r="O148" s="21" t="b">
        <v>0</v>
      </c>
      <c r="P148" s="21" t="b">
        <v>0</v>
      </c>
      <c r="Q148" s="17"/>
      <c r="R148" s="136"/>
      <c r="S148" s="136"/>
    </row>
    <row r="149" spans="1:19" ht="21.4" x14ac:dyDescent="0.3">
      <c r="A149" s="23" t="s">
        <v>47</v>
      </c>
      <c r="B149" s="60" t="s">
        <v>27</v>
      </c>
      <c r="C149" s="53" t="s">
        <v>1303</v>
      </c>
      <c r="D149" s="53" t="s">
        <v>284</v>
      </c>
      <c r="E149" s="53" t="s">
        <v>285</v>
      </c>
      <c r="F149" s="53" t="s">
        <v>286</v>
      </c>
      <c r="G149" s="3">
        <v>8.4000000000000005E-2</v>
      </c>
      <c r="H149" s="57">
        <v>46258</v>
      </c>
      <c r="I149" s="21" t="b">
        <v>0</v>
      </c>
      <c r="J149" s="63" t="s">
        <v>37</v>
      </c>
      <c r="K149" s="62">
        <v>46273</v>
      </c>
      <c r="L149" s="62">
        <v>46280</v>
      </c>
      <c r="M149" s="62">
        <v>46295</v>
      </c>
      <c r="N149" s="62">
        <v>46301</v>
      </c>
      <c r="O149" s="21" t="b">
        <v>0</v>
      </c>
      <c r="P149" s="21" t="b">
        <v>0</v>
      </c>
      <c r="Q149" s="17"/>
      <c r="R149" s="136"/>
      <c r="S149" s="136"/>
    </row>
    <row r="150" spans="1:19" ht="21.4" x14ac:dyDescent="0.3">
      <c r="A150" s="23" t="s">
        <v>48</v>
      </c>
      <c r="B150" s="61" t="s">
        <v>19</v>
      </c>
      <c r="C150" s="53"/>
      <c r="D150" s="53" t="s">
        <v>284</v>
      </c>
      <c r="E150" s="53" t="s">
        <v>285</v>
      </c>
      <c r="F150" s="53" t="s">
        <v>286</v>
      </c>
      <c r="G150" s="3"/>
      <c r="H150" s="3"/>
      <c r="I150" s="21" t="b">
        <v>0</v>
      </c>
      <c r="J150" s="63" t="s">
        <v>39</v>
      </c>
      <c r="K150" s="62">
        <v>46259</v>
      </c>
      <c r="L150" s="62">
        <v>46266</v>
      </c>
      <c r="M150" s="62">
        <v>46280</v>
      </c>
      <c r="N150" s="62">
        <v>46286</v>
      </c>
      <c r="O150" s="21" t="b">
        <v>0</v>
      </c>
      <c r="P150" s="21" t="b">
        <v>0</v>
      </c>
      <c r="Q150" s="17"/>
      <c r="R150" s="136"/>
      <c r="S150" s="136"/>
    </row>
    <row r="151" spans="1:19" ht="21.4" x14ac:dyDescent="0.3">
      <c r="A151" s="23" t="s">
        <v>49</v>
      </c>
      <c r="B151" s="60" t="s">
        <v>27</v>
      </c>
      <c r="C151" s="53" t="s">
        <v>1304</v>
      </c>
      <c r="D151" s="53" t="s">
        <v>284</v>
      </c>
      <c r="E151" s="53" t="s">
        <v>285</v>
      </c>
      <c r="F151" s="53" t="s">
        <v>286</v>
      </c>
      <c r="G151" s="3">
        <v>0.10299999999999999</v>
      </c>
      <c r="H151" s="57">
        <v>46258</v>
      </c>
      <c r="I151" s="21" t="b">
        <v>0</v>
      </c>
      <c r="J151" s="63" t="s">
        <v>37</v>
      </c>
      <c r="K151" s="62">
        <v>46273</v>
      </c>
      <c r="L151" s="62">
        <v>46280</v>
      </c>
      <c r="M151" s="62">
        <v>46295</v>
      </c>
      <c r="N151" s="62">
        <v>46301</v>
      </c>
      <c r="O151" s="21" t="b">
        <v>0</v>
      </c>
      <c r="P151" s="21" t="b">
        <v>0</v>
      </c>
      <c r="Q151" s="17"/>
      <c r="R151" s="136"/>
      <c r="S151" s="136"/>
    </row>
    <row r="152" spans="1:19" ht="21.4" x14ac:dyDescent="0.3">
      <c r="A152" s="23" t="s">
        <v>50</v>
      </c>
      <c r="B152" s="61" t="s">
        <v>19</v>
      </c>
      <c r="C152" s="53"/>
      <c r="D152" s="53" t="s">
        <v>284</v>
      </c>
      <c r="E152" s="53" t="s">
        <v>285</v>
      </c>
      <c r="F152" s="53" t="s">
        <v>286</v>
      </c>
      <c r="G152" s="3"/>
      <c r="H152" s="3"/>
      <c r="I152" s="21" t="b">
        <v>0</v>
      </c>
      <c r="J152" s="63" t="s">
        <v>39</v>
      </c>
      <c r="K152" s="62">
        <v>46259</v>
      </c>
      <c r="L152" s="62">
        <v>46266</v>
      </c>
      <c r="M152" s="62">
        <v>46280</v>
      </c>
      <c r="N152" s="62">
        <v>46286</v>
      </c>
      <c r="O152" s="21" t="b">
        <v>0</v>
      </c>
      <c r="P152" s="21" t="b">
        <v>0</v>
      </c>
      <c r="Q152" s="17"/>
      <c r="R152" s="136"/>
      <c r="S152" s="136"/>
    </row>
    <row r="153" spans="1:19" ht="21.4" x14ac:dyDescent="0.3">
      <c r="A153" s="23" t="s">
        <v>51</v>
      </c>
      <c r="B153" s="60" t="s">
        <v>27</v>
      </c>
      <c r="C153" s="53" t="s">
        <v>1305</v>
      </c>
      <c r="D153" s="53" t="s">
        <v>284</v>
      </c>
      <c r="E153" s="53" t="s">
        <v>285</v>
      </c>
      <c r="F153" s="53" t="s">
        <v>286</v>
      </c>
      <c r="G153" s="3">
        <v>9.0999999999999998E-2</v>
      </c>
      <c r="H153" s="57">
        <v>46258</v>
      </c>
      <c r="I153" s="21" t="b">
        <v>0</v>
      </c>
      <c r="J153" s="63" t="s">
        <v>37</v>
      </c>
      <c r="K153" s="62">
        <v>46273</v>
      </c>
      <c r="L153" s="62">
        <v>46280</v>
      </c>
      <c r="M153" s="62">
        <v>46295</v>
      </c>
      <c r="N153" s="62">
        <v>46301</v>
      </c>
      <c r="O153" s="21" t="b">
        <v>0</v>
      </c>
      <c r="P153" s="21" t="b">
        <v>0</v>
      </c>
      <c r="Q153" s="17"/>
      <c r="R153" s="136"/>
      <c r="S153" s="136"/>
    </row>
    <row r="154" spans="1:19" ht="21.4" x14ac:dyDescent="0.3">
      <c r="A154" s="23" t="s">
        <v>52</v>
      </c>
      <c r="B154" s="61" t="s">
        <v>19</v>
      </c>
      <c r="C154" s="53"/>
      <c r="D154" s="53" t="s">
        <v>284</v>
      </c>
      <c r="E154" s="53" t="s">
        <v>285</v>
      </c>
      <c r="F154" s="53" t="s">
        <v>286</v>
      </c>
      <c r="G154" s="3"/>
      <c r="H154" s="3"/>
      <c r="I154" s="21" t="b">
        <v>0</v>
      </c>
      <c r="J154" s="63" t="s">
        <v>39</v>
      </c>
      <c r="K154" s="62">
        <v>46259</v>
      </c>
      <c r="L154" s="62">
        <v>46266</v>
      </c>
      <c r="M154" s="62">
        <v>46280</v>
      </c>
      <c r="N154" s="62">
        <v>46286</v>
      </c>
      <c r="O154" s="21" t="b">
        <v>0</v>
      </c>
      <c r="P154" s="21" t="b">
        <v>0</v>
      </c>
      <c r="Q154" s="17"/>
      <c r="R154" s="136"/>
      <c r="S154" s="136"/>
    </row>
    <row r="155" spans="1:19" ht="21.4" x14ac:dyDescent="0.3">
      <c r="A155" s="23" t="s">
        <v>53</v>
      </c>
      <c r="B155" s="61" t="s">
        <v>19</v>
      </c>
      <c r="C155" s="53"/>
      <c r="D155" s="53" t="s">
        <v>284</v>
      </c>
      <c r="E155" s="53" t="s">
        <v>285</v>
      </c>
      <c r="F155" s="53" t="s">
        <v>286</v>
      </c>
      <c r="G155" s="3"/>
      <c r="H155" s="3"/>
      <c r="I155" s="21" t="b">
        <v>0</v>
      </c>
      <c r="J155" s="63" t="s">
        <v>39</v>
      </c>
      <c r="K155" s="62">
        <v>46259</v>
      </c>
      <c r="L155" s="62">
        <v>46266</v>
      </c>
      <c r="M155" s="62">
        <v>46280</v>
      </c>
      <c r="N155" s="62">
        <v>46286</v>
      </c>
      <c r="O155" s="21" t="b">
        <v>0</v>
      </c>
      <c r="P155" s="21" t="b">
        <v>0</v>
      </c>
      <c r="Q155" s="17"/>
      <c r="R155" s="136"/>
      <c r="S155" s="136"/>
    </row>
    <row r="156" spans="1:19" ht="21.4" x14ac:dyDescent="0.3">
      <c r="A156" s="23" t="s">
        <v>54</v>
      </c>
      <c r="B156" s="61" t="s">
        <v>19</v>
      </c>
      <c r="C156" s="53" t="s">
        <v>1278</v>
      </c>
      <c r="D156" s="53" t="s">
        <v>284</v>
      </c>
      <c r="E156" s="53" t="s">
        <v>285</v>
      </c>
      <c r="F156" s="53" t="s">
        <v>286</v>
      </c>
      <c r="G156" s="3">
        <v>7.9000000000000001E-2</v>
      </c>
      <c r="H156" s="57">
        <v>46255</v>
      </c>
      <c r="I156" s="21" t="b">
        <v>1</v>
      </c>
      <c r="J156" s="63" t="s">
        <v>56</v>
      </c>
      <c r="K156" s="62">
        <v>46226</v>
      </c>
      <c r="L156" s="62">
        <v>46233</v>
      </c>
      <c r="M156" s="62">
        <v>46248</v>
      </c>
      <c r="N156" s="62">
        <v>46254</v>
      </c>
      <c r="O156" s="21" t="b">
        <v>0</v>
      </c>
      <c r="P156" s="21" t="b">
        <v>0</v>
      </c>
      <c r="Q156" s="17"/>
      <c r="R156" s="136"/>
      <c r="S156" s="136"/>
    </row>
    <row r="157" spans="1:19" ht="21.4" x14ac:dyDescent="0.3">
      <c r="A157" s="23" t="s">
        <v>57</v>
      </c>
      <c r="B157" s="61" t="s">
        <v>19</v>
      </c>
      <c r="C157" s="53" t="s">
        <v>1277</v>
      </c>
      <c r="D157" s="53" t="s">
        <v>284</v>
      </c>
      <c r="E157" s="53" t="s">
        <v>285</v>
      </c>
      <c r="F157" s="53" t="s">
        <v>286</v>
      </c>
      <c r="G157" s="3">
        <v>8.4000000000000005E-2</v>
      </c>
      <c r="H157" s="57">
        <v>46255</v>
      </c>
      <c r="I157" s="21" t="b">
        <v>1</v>
      </c>
      <c r="J157" s="63" t="s">
        <v>56</v>
      </c>
      <c r="K157" s="62">
        <v>46226</v>
      </c>
      <c r="L157" s="62">
        <v>46233</v>
      </c>
      <c r="M157" s="62">
        <v>46248</v>
      </c>
      <c r="N157" s="62">
        <v>46254</v>
      </c>
      <c r="O157" s="21" t="b">
        <v>0</v>
      </c>
      <c r="P157" s="21" t="b">
        <v>0</v>
      </c>
      <c r="Q157" s="17"/>
      <c r="R157" s="136"/>
      <c r="S157" s="136"/>
    </row>
    <row r="158" spans="1:19" ht="21.4" x14ac:dyDescent="0.3">
      <c r="A158" s="23" t="s">
        <v>58</v>
      </c>
      <c r="B158" s="61" t="s">
        <v>19</v>
      </c>
      <c r="C158" s="53" t="s">
        <v>1276</v>
      </c>
      <c r="D158" s="53" t="s">
        <v>284</v>
      </c>
      <c r="E158" s="53" t="s">
        <v>285</v>
      </c>
      <c r="F158" s="53" t="s">
        <v>286</v>
      </c>
      <c r="G158" s="3">
        <v>0.104</v>
      </c>
      <c r="H158" s="57">
        <v>46255</v>
      </c>
      <c r="I158" s="21" t="b">
        <v>1</v>
      </c>
      <c r="J158" s="63" t="s">
        <v>56</v>
      </c>
      <c r="K158" s="62">
        <v>46226</v>
      </c>
      <c r="L158" s="62">
        <v>46233</v>
      </c>
      <c r="M158" s="62">
        <v>46248</v>
      </c>
      <c r="N158" s="62">
        <v>46254</v>
      </c>
      <c r="O158" s="21" t="b">
        <v>0</v>
      </c>
      <c r="P158" s="21" t="b">
        <v>0</v>
      </c>
      <c r="Q158" s="17"/>
      <c r="R158" s="136"/>
      <c r="S158" s="136"/>
    </row>
    <row r="159" spans="1:19" ht="21.4" x14ac:dyDescent="0.3">
      <c r="A159" s="23" t="s">
        <v>59</v>
      </c>
      <c r="B159" s="61" t="s">
        <v>19</v>
      </c>
      <c r="C159" s="53" t="s">
        <v>1290</v>
      </c>
      <c r="D159" s="53" t="s">
        <v>284</v>
      </c>
      <c r="E159" s="53" t="s">
        <v>285</v>
      </c>
      <c r="F159" s="53" t="s">
        <v>286</v>
      </c>
      <c r="G159" s="3">
        <v>0.104</v>
      </c>
      <c r="H159" s="57">
        <v>46255</v>
      </c>
      <c r="I159" s="21" t="b">
        <v>1</v>
      </c>
      <c r="J159" s="63" t="s">
        <v>56</v>
      </c>
      <c r="K159" s="62">
        <v>46226</v>
      </c>
      <c r="L159" s="62">
        <v>46233</v>
      </c>
      <c r="M159" s="62">
        <v>46248</v>
      </c>
      <c r="N159" s="62">
        <v>46254</v>
      </c>
      <c r="O159" s="21" t="b">
        <v>0</v>
      </c>
      <c r="P159" s="21" t="b">
        <v>0</v>
      </c>
      <c r="Q159" s="17"/>
      <c r="R159" s="136"/>
      <c r="S159" s="136"/>
    </row>
    <row r="160" spans="1:19" ht="21.4" x14ac:dyDescent="0.3">
      <c r="A160" s="23" t="s">
        <v>60</v>
      </c>
      <c r="B160" s="61" t="s">
        <v>19</v>
      </c>
      <c r="C160" s="53" t="s">
        <v>1291</v>
      </c>
      <c r="D160" s="53" t="s">
        <v>284</v>
      </c>
      <c r="E160" s="53" t="s">
        <v>285</v>
      </c>
      <c r="F160" s="53" t="s">
        <v>286</v>
      </c>
      <c r="G160" s="3">
        <v>8.3000000000000004E-2</v>
      </c>
      <c r="H160" s="57">
        <v>46255</v>
      </c>
      <c r="I160" s="21" t="b">
        <v>1</v>
      </c>
      <c r="J160" s="63" t="s">
        <v>56</v>
      </c>
      <c r="K160" s="62">
        <v>46226</v>
      </c>
      <c r="L160" s="62">
        <v>46233</v>
      </c>
      <c r="M160" s="62">
        <v>46248</v>
      </c>
      <c r="N160" s="62">
        <v>46254</v>
      </c>
      <c r="O160" s="21" t="b">
        <v>0</v>
      </c>
      <c r="P160" s="21" t="b">
        <v>0</v>
      </c>
      <c r="Q160" s="17"/>
      <c r="R160" s="136"/>
      <c r="S160" s="136"/>
    </row>
    <row r="161" spans="1:19" ht="21.4" x14ac:dyDescent="0.3">
      <c r="A161" s="23" t="s">
        <v>61</v>
      </c>
      <c r="B161" s="61" t="s">
        <v>19</v>
      </c>
      <c r="C161" s="53" t="s">
        <v>1292</v>
      </c>
      <c r="D161" s="53" t="s">
        <v>284</v>
      </c>
      <c r="E161" s="53" t="s">
        <v>285</v>
      </c>
      <c r="F161" s="53" t="s">
        <v>286</v>
      </c>
      <c r="G161" s="3">
        <v>9.1999999999999998E-2</v>
      </c>
      <c r="H161" s="57">
        <v>46255</v>
      </c>
      <c r="I161" s="21" t="b">
        <v>1</v>
      </c>
      <c r="J161" s="63" t="s">
        <v>56</v>
      </c>
      <c r="K161" s="62">
        <v>46226</v>
      </c>
      <c r="L161" s="62">
        <v>46233</v>
      </c>
      <c r="M161" s="62">
        <v>46248</v>
      </c>
      <c r="N161" s="62">
        <v>46254</v>
      </c>
      <c r="O161" s="21" t="b">
        <v>0</v>
      </c>
      <c r="P161" s="21" t="b">
        <v>0</v>
      </c>
      <c r="Q161" s="17"/>
      <c r="R161" s="136"/>
      <c r="S161" s="136"/>
    </row>
    <row r="162" spans="1:19" ht="21.4" x14ac:dyDescent="0.3">
      <c r="A162" s="23" t="s">
        <v>62</v>
      </c>
      <c r="B162" s="61" t="s">
        <v>19</v>
      </c>
      <c r="C162" s="53" t="s">
        <v>1307</v>
      </c>
      <c r="D162" s="53" t="s">
        <v>284</v>
      </c>
      <c r="E162" s="53" t="s">
        <v>285</v>
      </c>
      <c r="F162" s="53" t="s">
        <v>286</v>
      </c>
      <c r="G162" s="3">
        <v>0.104</v>
      </c>
      <c r="H162" s="57">
        <v>46258</v>
      </c>
      <c r="I162" s="21" t="b">
        <v>1</v>
      </c>
      <c r="J162" s="63" t="s">
        <v>56</v>
      </c>
      <c r="K162" s="62">
        <v>46226</v>
      </c>
      <c r="L162" s="62">
        <v>46233</v>
      </c>
      <c r="M162" s="62">
        <v>46248</v>
      </c>
      <c r="N162" s="62">
        <v>46254</v>
      </c>
      <c r="O162" s="21" t="b">
        <v>0</v>
      </c>
      <c r="P162" s="21" t="b">
        <v>0</v>
      </c>
      <c r="Q162" s="17"/>
      <c r="R162" s="136"/>
      <c r="S162" s="136"/>
    </row>
    <row r="163" spans="1:19" ht="21.4" x14ac:dyDescent="0.3">
      <c r="A163" s="23" t="s">
        <v>63</v>
      </c>
      <c r="B163" s="61" t="s">
        <v>19</v>
      </c>
      <c r="C163" s="53" t="s">
        <v>1308</v>
      </c>
      <c r="D163" s="53" t="s">
        <v>284</v>
      </c>
      <c r="E163" s="53" t="s">
        <v>285</v>
      </c>
      <c r="F163" s="53" t="s">
        <v>286</v>
      </c>
      <c r="G163" s="3">
        <v>8.2000000000000003E-2</v>
      </c>
      <c r="H163" s="57">
        <v>46258</v>
      </c>
      <c r="I163" s="21" t="b">
        <v>1</v>
      </c>
      <c r="J163" s="63" t="s">
        <v>56</v>
      </c>
      <c r="K163" s="62">
        <v>46226</v>
      </c>
      <c r="L163" s="62">
        <v>46233</v>
      </c>
      <c r="M163" s="62">
        <v>46248</v>
      </c>
      <c r="N163" s="62">
        <v>46254</v>
      </c>
      <c r="O163" s="21" t="b">
        <v>0</v>
      </c>
      <c r="P163" s="21" t="b">
        <v>0</v>
      </c>
      <c r="Q163" s="17"/>
      <c r="R163" s="136"/>
      <c r="S163" s="136"/>
    </row>
    <row r="164" spans="1:19" ht="21.4" x14ac:dyDescent="0.3">
      <c r="A164" s="23" t="s">
        <v>87</v>
      </c>
      <c r="B164" s="61" t="s">
        <v>19</v>
      </c>
      <c r="C164" s="53" t="s">
        <v>1235</v>
      </c>
      <c r="D164" s="53" t="s">
        <v>353</v>
      </c>
      <c r="E164" s="53" t="s">
        <v>354</v>
      </c>
      <c r="F164" s="53" t="s">
        <v>286</v>
      </c>
      <c r="G164" s="3">
        <v>0.153</v>
      </c>
      <c r="H164" s="57">
        <v>46248</v>
      </c>
      <c r="I164" s="21" t="b">
        <v>1</v>
      </c>
      <c r="J164" s="63" t="s">
        <v>89</v>
      </c>
      <c r="K164" s="62">
        <v>46211</v>
      </c>
      <c r="L164" s="62">
        <v>46218</v>
      </c>
      <c r="M164" s="62">
        <v>46232</v>
      </c>
      <c r="N164" s="62">
        <v>46238</v>
      </c>
      <c r="O164" s="21" t="b">
        <v>0</v>
      </c>
      <c r="P164" s="21" t="b">
        <v>0</v>
      </c>
      <c r="Q164" s="17"/>
      <c r="R164" s="136"/>
      <c r="S164" s="136"/>
    </row>
    <row r="165" spans="1:19" ht="21.4" x14ac:dyDescent="0.3">
      <c r="A165" s="23" t="s">
        <v>90</v>
      </c>
      <c r="B165" s="61" t="s">
        <v>19</v>
      </c>
      <c r="C165" s="53" t="s">
        <v>1234</v>
      </c>
      <c r="D165" s="53" t="s">
        <v>353</v>
      </c>
      <c r="E165" s="53" t="s">
        <v>354</v>
      </c>
      <c r="F165" s="53" t="s">
        <v>286</v>
      </c>
      <c r="G165" s="3">
        <v>0.152</v>
      </c>
      <c r="H165" s="57">
        <v>46248</v>
      </c>
      <c r="I165" s="21" t="b">
        <v>1</v>
      </c>
      <c r="J165" s="63" t="s">
        <v>89</v>
      </c>
      <c r="K165" s="62">
        <v>46211</v>
      </c>
      <c r="L165" s="62">
        <v>46218</v>
      </c>
      <c r="M165" s="62">
        <v>46232</v>
      </c>
      <c r="N165" s="62">
        <v>46238</v>
      </c>
      <c r="O165" s="21" t="b">
        <v>0</v>
      </c>
      <c r="P165" s="21" t="b">
        <v>0</v>
      </c>
      <c r="Q165" s="17"/>
      <c r="R165" s="136"/>
      <c r="S165" s="136"/>
    </row>
    <row r="166" spans="1:19" ht="21.4" x14ac:dyDescent="0.3">
      <c r="A166" s="23" t="s">
        <v>91</v>
      </c>
      <c r="B166" s="61" t="s">
        <v>19</v>
      </c>
      <c r="C166" s="53" t="s">
        <v>1233</v>
      </c>
      <c r="D166" s="53" t="s">
        <v>353</v>
      </c>
      <c r="E166" s="53" t="s">
        <v>354</v>
      </c>
      <c r="F166" s="53" t="s">
        <v>286</v>
      </c>
      <c r="G166" s="3">
        <v>0.152</v>
      </c>
      <c r="H166" s="57">
        <v>46248</v>
      </c>
      <c r="I166" s="21" t="b">
        <v>1</v>
      </c>
      <c r="J166" s="63" t="s">
        <v>89</v>
      </c>
      <c r="K166" s="62">
        <v>46211</v>
      </c>
      <c r="L166" s="62">
        <v>46218</v>
      </c>
      <c r="M166" s="62">
        <v>46232</v>
      </c>
      <c r="N166" s="62">
        <v>46238</v>
      </c>
      <c r="O166" s="21" t="b">
        <v>0</v>
      </c>
      <c r="P166" s="21" t="b">
        <v>0</v>
      </c>
      <c r="Q166" s="17"/>
      <c r="R166" s="136"/>
      <c r="S166" s="136"/>
    </row>
    <row r="167" spans="1:19" ht="21.4" x14ac:dyDescent="0.3">
      <c r="A167" s="23" t="s">
        <v>92</v>
      </c>
      <c r="B167" s="61" t="s">
        <v>19</v>
      </c>
      <c r="C167" s="53" t="s">
        <v>1232</v>
      </c>
      <c r="D167" s="53" t="s">
        <v>353</v>
      </c>
      <c r="E167" s="53" t="s">
        <v>354</v>
      </c>
      <c r="F167" s="53" t="s">
        <v>286</v>
      </c>
      <c r="G167" s="3">
        <v>0.12</v>
      </c>
      <c r="H167" s="57">
        <v>46248</v>
      </c>
      <c r="I167" s="21" t="b">
        <v>1</v>
      </c>
      <c r="J167" s="63" t="s">
        <v>89</v>
      </c>
      <c r="K167" s="62">
        <v>46211</v>
      </c>
      <c r="L167" s="62">
        <v>46218</v>
      </c>
      <c r="M167" s="62">
        <v>46232</v>
      </c>
      <c r="N167" s="62">
        <v>46238</v>
      </c>
      <c r="O167" s="21" t="b">
        <v>0</v>
      </c>
      <c r="P167" s="21" t="b">
        <v>0</v>
      </c>
      <c r="Q167" s="17"/>
      <c r="R167" s="136"/>
      <c r="S167" s="136"/>
    </row>
    <row r="168" spans="1:19" ht="21.4" x14ac:dyDescent="0.3">
      <c r="A168" s="23" t="s">
        <v>93</v>
      </c>
      <c r="B168" s="61" t="s">
        <v>19</v>
      </c>
      <c r="C168" s="53" t="s">
        <v>1231</v>
      </c>
      <c r="D168" s="53" t="s">
        <v>353</v>
      </c>
      <c r="E168" s="53" t="s">
        <v>354</v>
      </c>
      <c r="F168" s="53" t="s">
        <v>286</v>
      </c>
      <c r="G168" s="3">
        <v>0.11700000000000001</v>
      </c>
      <c r="H168" s="57">
        <v>46248</v>
      </c>
      <c r="I168" s="21" t="b">
        <v>1</v>
      </c>
      <c r="J168" s="63" t="s">
        <v>89</v>
      </c>
      <c r="K168" s="62">
        <v>46211</v>
      </c>
      <c r="L168" s="62">
        <v>46218</v>
      </c>
      <c r="M168" s="62">
        <v>46232</v>
      </c>
      <c r="N168" s="62">
        <v>46238</v>
      </c>
      <c r="O168" s="21" t="b">
        <v>0</v>
      </c>
      <c r="P168" s="21" t="b">
        <v>0</v>
      </c>
      <c r="Q168" s="17"/>
      <c r="R168" s="136"/>
      <c r="S168" s="136"/>
    </row>
    <row r="169" spans="1:19" ht="21.4" x14ac:dyDescent="0.3">
      <c r="A169" s="23" t="s">
        <v>94</v>
      </c>
      <c r="B169" s="61" t="s">
        <v>19</v>
      </c>
      <c r="C169" s="53" t="s">
        <v>1230</v>
      </c>
      <c r="D169" s="53" t="s">
        <v>353</v>
      </c>
      <c r="E169" s="53" t="s">
        <v>354</v>
      </c>
      <c r="F169" s="53" t="s">
        <v>286</v>
      </c>
      <c r="G169" s="3">
        <v>0.151</v>
      </c>
      <c r="H169" s="57">
        <v>46248</v>
      </c>
      <c r="I169" s="21" t="b">
        <v>1</v>
      </c>
      <c r="J169" s="63" t="s">
        <v>89</v>
      </c>
      <c r="K169" s="62">
        <v>46211</v>
      </c>
      <c r="L169" s="62">
        <v>46218</v>
      </c>
      <c r="M169" s="62">
        <v>46232</v>
      </c>
      <c r="N169" s="62">
        <v>46238</v>
      </c>
      <c r="O169" s="21" t="b">
        <v>0</v>
      </c>
      <c r="P169" s="21" t="b">
        <v>0</v>
      </c>
      <c r="Q169" s="17"/>
      <c r="R169" s="136"/>
      <c r="S169" s="136"/>
    </row>
    <row r="170" spans="1:19" ht="21.4" x14ac:dyDescent="0.3">
      <c r="A170" s="23" t="s">
        <v>95</v>
      </c>
      <c r="B170" s="61" t="s">
        <v>19</v>
      </c>
      <c r="C170" s="53"/>
      <c r="D170" s="53" t="s">
        <v>284</v>
      </c>
      <c r="E170" s="53" t="s">
        <v>285</v>
      </c>
      <c r="F170" s="53" t="s">
        <v>286</v>
      </c>
      <c r="G170" s="3"/>
      <c r="H170" s="3"/>
      <c r="I170" s="21" t="b">
        <v>0</v>
      </c>
      <c r="J170" s="63" t="s">
        <v>89</v>
      </c>
      <c r="K170" s="62">
        <v>46211</v>
      </c>
      <c r="L170" s="62">
        <v>46218</v>
      </c>
      <c r="M170" s="62">
        <v>46232</v>
      </c>
      <c r="N170" s="62">
        <v>46238</v>
      </c>
      <c r="O170" s="21" t="b">
        <v>0</v>
      </c>
      <c r="P170" s="21" t="b">
        <v>0</v>
      </c>
      <c r="Q170" s="17"/>
      <c r="R170" s="136"/>
      <c r="S170" s="136"/>
    </row>
    <row r="171" spans="1:19" ht="21.4" x14ac:dyDescent="0.3">
      <c r="A171" s="23" t="s">
        <v>220</v>
      </c>
      <c r="B171" s="59" t="s">
        <v>65</v>
      </c>
      <c r="C171" s="53" t="s">
        <v>1241</v>
      </c>
      <c r="D171" s="53" t="s">
        <v>353</v>
      </c>
      <c r="E171" s="53" t="s">
        <v>354</v>
      </c>
      <c r="F171" s="53" t="s">
        <v>286</v>
      </c>
      <c r="G171" s="3">
        <v>0.121</v>
      </c>
      <c r="H171" s="57">
        <v>46248</v>
      </c>
      <c r="I171" s="21" t="b">
        <v>1</v>
      </c>
      <c r="J171" s="63" t="s">
        <v>222</v>
      </c>
      <c r="K171" s="62">
        <v>46238</v>
      </c>
      <c r="L171" s="62">
        <v>46246</v>
      </c>
      <c r="M171" s="62">
        <v>46260</v>
      </c>
      <c r="N171" s="62">
        <v>46266</v>
      </c>
      <c r="O171" s="21" t="b">
        <v>0</v>
      </c>
      <c r="P171" s="21" t="b">
        <v>0</v>
      </c>
      <c r="Q171" s="17"/>
      <c r="R171" s="136"/>
      <c r="S171" s="136"/>
    </row>
    <row r="172" spans="1:19" ht="21.4" x14ac:dyDescent="0.3">
      <c r="A172" s="23" t="s">
        <v>223</v>
      </c>
      <c r="B172" s="59" t="s">
        <v>65</v>
      </c>
      <c r="C172" s="53" t="s">
        <v>1238</v>
      </c>
      <c r="D172" s="53" t="s">
        <v>353</v>
      </c>
      <c r="E172" s="53" t="s">
        <v>354</v>
      </c>
      <c r="F172" s="53" t="s">
        <v>286</v>
      </c>
      <c r="G172" s="3">
        <v>0.152</v>
      </c>
      <c r="H172" s="57">
        <v>46248</v>
      </c>
      <c r="I172" s="21" t="b">
        <v>1</v>
      </c>
      <c r="J172" s="63" t="s">
        <v>222</v>
      </c>
      <c r="K172" s="62">
        <v>46238</v>
      </c>
      <c r="L172" s="62">
        <v>46246</v>
      </c>
      <c r="M172" s="62">
        <v>46260</v>
      </c>
      <c r="N172" s="62">
        <v>46266</v>
      </c>
      <c r="O172" s="21" t="b">
        <v>0</v>
      </c>
      <c r="P172" s="21" t="b">
        <v>0</v>
      </c>
      <c r="Q172" s="17"/>
      <c r="R172" s="136"/>
      <c r="S172" s="136"/>
    </row>
    <row r="173" spans="1:19" ht="21.4" x14ac:dyDescent="0.3">
      <c r="A173" s="23" t="s">
        <v>224</v>
      </c>
      <c r="B173" s="59" t="s">
        <v>65</v>
      </c>
      <c r="C173" s="53" t="s">
        <v>1239</v>
      </c>
      <c r="D173" s="53" t="s">
        <v>353</v>
      </c>
      <c r="E173" s="53" t="s">
        <v>354</v>
      </c>
      <c r="F173" s="53" t="s">
        <v>286</v>
      </c>
      <c r="G173" s="3">
        <v>0.152</v>
      </c>
      <c r="H173" s="57">
        <v>46248</v>
      </c>
      <c r="I173" s="21" t="b">
        <v>1</v>
      </c>
      <c r="J173" s="63" t="s">
        <v>222</v>
      </c>
      <c r="K173" s="62">
        <v>46238</v>
      </c>
      <c r="L173" s="62">
        <v>46246</v>
      </c>
      <c r="M173" s="62">
        <v>46260</v>
      </c>
      <c r="N173" s="62">
        <v>46266</v>
      </c>
      <c r="O173" s="21" t="b">
        <v>0</v>
      </c>
      <c r="P173" s="21" t="b">
        <v>0</v>
      </c>
      <c r="Q173" s="17"/>
      <c r="R173" s="136"/>
      <c r="S173" s="136"/>
    </row>
    <row r="174" spans="1:19" ht="21.4" x14ac:dyDescent="0.3">
      <c r="A174" s="23" t="s">
        <v>225</v>
      </c>
      <c r="B174" s="59" t="s">
        <v>65</v>
      </c>
      <c r="C174" s="53" t="s">
        <v>1240</v>
      </c>
      <c r="D174" s="53" t="s">
        <v>353</v>
      </c>
      <c r="E174" s="53" t="s">
        <v>354</v>
      </c>
      <c r="F174" s="53" t="s">
        <v>286</v>
      </c>
      <c r="G174" s="3">
        <v>0.152</v>
      </c>
      <c r="H174" s="57">
        <v>46248</v>
      </c>
      <c r="I174" s="21" t="b">
        <v>1</v>
      </c>
      <c r="J174" s="63" t="s">
        <v>222</v>
      </c>
      <c r="K174" s="62">
        <v>46238</v>
      </c>
      <c r="L174" s="62">
        <v>46246</v>
      </c>
      <c r="M174" s="62">
        <v>46260</v>
      </c>
      <c r="N174" s="62">
        <v>46266</v>
      </c>
      <c r="O174" s="21" t="b">
        <v>0</v>
      </c>
      <c r="P174" s="21" t="b">
        <v>0</v>
      </c>
      <c r="Q174" s="17"/>
      <c r="R174" s="136"/>
      <c r="S174" s="136"/>
    </row>
    <row r="175" spans="1:19" ht="21.4" x14ac:dyDescent="0.3">
      <c r="A175" s="23" t="s">
        <v>226</v>
      </c>
      <c r="B175" s="59" t="s">
        <v>65</v>
      </c>
      <c r="C175" s="53" t="s">
        <v>351</v>
      </c>
      <c r="D175" s="53" t="s">
        <v>284</v>
      </c>
      <c r="E175" s="53" t="s">
        <v>285</v>
      </c>
      <c r="F175" s="53" t="s">
        <v>286</v>
      </c>
      <c r="G175" s="3">
        <v>6.7000000000000004E-2</v>
      </c>
      <c r="H175" s="57">
        <v>46219</v>
      </c>
      <c r="I175" s="21" t="b">
        <v>1</v>
      </c>
      <c r="J175" s="63" t="s">
        <v>222</v>
      </c>
      <c r="K175" s="62">
        <v>46238</v>
      </c>
      <c r="L175" s="62">
        <v>46246</v>
      </c>
      <c r="M175" s="62">
        <v>46260</v>
      </c>
      <c r="N175" s="62">
        <v>46266</v>
      </c>
      <c r="O175" s="21" t="b">
        <v>0</v>
      </c>
      <c r="P175" s="21" t="b">
        <v>0</v>
      </c>
      <c r="Q175" s="17"/>
      <c r="R175" s="136"/>
      <c r="S175" s="136"/>
    </row>
    <row r="176" spans="1:19" ht="21.4" x14ac:dyDescent="0.3">
      <c r="A176" s="23" t="s">
        <v>227</v>
      </c>
      <c r="B176" s="59" t="s">
        <v>65</v>
      </c>
      <c r="C176" s="53" t="s">
        <v>352</v>
      </c>
      <c r="D176" s="53" t="s">
        <v>353</v>
      </c>
      <c r="E176" s="53" t="s">
        <v>354</v>
      </c>
      <c r="F176" s="53" t="s">
        <v>286</v>
      </c>
      <c r="G176" s="3">
        <v>0.161</v>
      </c>
      <c r="H176" s="57">
        <v>46219</v>
      </c>
      <c r="I176" s="21" t="b">
        <v>1</v>
      </c>
      <c r="J176" s="63" t="s">
        <v>67</v>
      </c>
      <c r="K176" s="62">
        <v>46224</v>
      </c>
      <c r="L176" s="62">
        <v>46231</v>
      </c>
      <c r="M176" s="62">
        <v>46246</v>
      </c>
      <c r="N176" s="62">
        <v>46252</v>
      </c>
      <c r="O176" s="21" t="b">
        <v>0</v>
      </c>
      <c r="P176" s="21" t="b">
        <v>0</v>
      </c>
      <c r="Q176" s="17"/>
      <c r="R176" s="136"/>
      <c r="S176" s="136"/>
    </row>
    <row r="177" spans="1:19" ht="21.4" x14ac:dyDescent="0.3">
      <c r="A177" s="23" t="s">
        <v>213</v>
      </c>
      <c r="B177" s="59" t="s">
        <v>65</v>
      </c>
      <c r="C177" s="53" t="s">
        <v>355</v>
      </c>
      <c r="D177" s="53" t="s">
        <v>284</v>
      </c>
      <c r="E177" s="53" t="s">
        <v>285</v>
      </c>
      <c r="F177" s="53" t="s">
        <v>286</v>
      </c>
      <c r="G177" s="3">
        <v>8.8999999999999996E-2</v>
      </c>
      <c r="H177" s="57">
        <v>46219</v>
      </c>
      <c r="I177" s="21" t="b">
        <v>1</v>
      </c>
      <c r="J177" s="63" t="s">
        <v>67</v>
      </c>
      <c r="K177" s="62">
        <v>46224</v>
      </c>
      <c r="L177" s="62">
        <v>46231</v>
      </c>
      <c r="M177" s="62">
        <v>46246</v>
      </c>
      <c r="N177" s="62">
        <v>46252</v>
      </c>
      <c r="O177" s="21" t="b">
        <v>0</v>
      </c>
      <c r="P177" s="21" t="b">
        <v>0</v>
      </c>
      <c r="Q177" s="17"/>
      <c r="R177" s="136"/>
      <c r="S177" s="136"/>
    </row>
    <row r="178" spans="1:19" ht="21.4" x14ac:dyDescent="0.3">
      <c r="A178" s="23" t="s">
        <v>215</v>
      </c>
      <c r="B178" s="59" t="s">
        <v>65</v>
      </c>
      <c r="C178" s="53" t="s">
        <v>356</v>
      </c>
      <c r="D178" s="53" t="s">
        <v>284</v>
      </c>
      <c r="E178" s="53" t="s">
        <v>285</v>
      </c>
      <c r="F178" s="53" t="s">
        <v>286</v>
      </c>
      <c r="G178" s="3">
        <v>9.1999999999999998E-2</v>
      </c>
      <c r="H178" s="57">
        <v>46219</v>
      </c>
      <c r="I178" s="21" t="b">
        <v>1</v>
      </c>
      <c r="J178" s="63" t="s">
        <v>67</v>
      </c>
      <c r="K178" s="62">
        <v>46224</v>
      </c>
      <c r="L178" s="62">
        <v>46231</v>
      </c>
      <c r="M178" s="62">
        <v>46246</v>
      </c>
      <c r="N178" s="62">
        <v>46252</v>
      </c>
      <c r="O178" s="21" t="b">
        <v>0</v>
      </c>
      <c r="P178" s="21" t="b">
        <v>0</v>
      </c>
      <c r="Q178" s="17"/>
      <c r="R178" s="136"/>
      <c r="S178" s="136"/>
    </row>
    <row r="179" spans="1:19" ht="21.4" x14ac:dyDescent="0.3">
      <c r="A179" s="23" t="s">
        <v>216</v>
      </c>
      <c r="B179" s="59" t="s">
        <v>65</v>
      </c>
      <c r="C179" s="53" t="s">
        <v>357</v>
      </c>
      <c r="D179" s="53" t="s">
        <v>284</v>
      </c>
      <c r="E179" s="53" t="s">
        <v>285</v>
      </c>
      <c r="F179" s="53" t="s">
        <v>286</v>
      </c>
      <c r="G179" s="3">
        <v>0.09</v>
      </c>
      <c r="H179" s="57">
        <v>46219</v>
      </c>
      <c r="I179" s="21" t="b">
        <v>1</v>
      </c>
      <c r="J179" s="63" t="s">
        <v>67</v>
      </c>
      <c r="K179" s="62">
        <v>46224</v>
      </c>
      <c r="L179" s="62">
        <v>46231</v>
      </c>
      <c r="M179" s="62">
        <v>46246</v>
      </c>
      <c r="N179" s="62">
        <v>46252</v>
      </c>
      <c r="O179" s="21" t="b">
        <v>0</v>
      </c>
      <c r="P179" s="21" t="b">
        <v>0</v>
      </c>
      <c r="Q179" s="17"/>
      <c r="R179" s="136"/>
      <c r="S179" s="136"/>
    </row>
    <row r="180" spans="1:19" ht="21.4" x14ac:dyDescent="0.3">
      <c r="A180" s="23" t="s">
        <v>217</v>
      </c>
      <c r="B180" s="59" t="s">
        <v>65</v>
      </c>
      <c r="C180" s="53" t="s">
        <v>358</v>
      </c>
      <c r="D180" s="53" t="s">
        <v>284</v>
      </c>
      <c r="E180" s="53" t="s">
        <v>285</v>
      </c>
      <c r="F180" s="53" t="s">
        <v>286</v>
      </c>
      <c r="G180" s="3">
        <v>8.8999999999999996E-2</v>
      </c>
      <c r="H180" s="57">
        <v>46219</v>
      </c>
      <c r="I180" s="21" t="b">
        <v>1</v>
      </c>
      <c r="J180" s="63" t="s">
        <v>67</v>
      </c>
      <c r="K180" s="62">
        <v>46224</v>
      </c>
      <c r="L180" s="62">
        <v>46231</v>
      </c>
      <c r="M180" s="62">
        <v>46246</v>
      </c>
      <c r="N180" s="62">
        <v>46252</v>
      </c>
      <c r="O180" s="21" t="b">
        <v>0</v>
      </c>
      <c r="P180" s="21" t="b">
        <v>0</v>
      </c>
      <c r="Q180" s="17"/>
      <c r="R180" s="136"/>
      <c r="S180" s="136"/>
    </row>
    <row r="181" spans="1:19" ht="21.4" x14ac:dyDescent="0.3">
      <c r="A181" s="23" t="s">
        <v>218</v>
      </c>
      <c r="B181" s="59" t="s">
        <v>65</v>
      </c>
      <c r="C181" s="53" t="s">
        <v>359</v>
      </c>
      <c r="D181" s="53" t="s">
        <v>284</v>
      </c>
      <c r="E181" s="53" t="s">
        <v>285</v>
      </c>
      <c r="F181" s="53" t="s">
        <v>286</v>
      </c>
      <c r="G181" s="3">
        <v>6.9000000000000006E-2</v>
      </c>
      <c r="H181" s="57">
        <v>46219</v>
      </c>
      <c r="I181" s="21" t="b">
        <v>1</v>
      </c>
      <c r="J181" s="63" t="s">
        <v>67</v>
      </c>
      <c r="K181" s="62">
        <v>46224</v>
      </c>
      <c r="L181" s="62">
        <v>46231</v>
      </c>
      <c r="M181" s="62">
        <v>46246</v>
      </c>
      <c r="N181" s="62">
        <v>46252</v>
      </c>
      <c r="O181" s="21" t="b">
        <v>0</v>
      </c>
      <c r="P181" s="21" t="b">
        <v>0</v>
      </c>
      <c r="Q181" s="17"/>
      <c r="R181" s="136"/>
      <c r="S181" s="136"/>
    </row>
    <row r="182" spans="1:19" ht="21.4" x14ac:dyDescent="0.3">
      <c r="A182" s="23" t="s">
        <v>219</v>
      </c>
      <c r="B182" s="59" t="s">
        <v>65</v>
      </c>
      <c r="C182" s="53" t="s">
        <v>1242</v>
      </c>
      <c r="D182" s="53" t="s">
        <v>353</v>
      </c>
      <c r="E182" s="53" t="s">
        <v>354</v>
      </c>
      <c r="F182" s="53" t="s">
        <v>286</v>
      </c>
      <c r="G182" s="3">
        <v>0.12</v>
      </c>
      <c r="H182" s="57">
        <v>46248</v>
      </c>
      <c r="I182" s="21" t="b">
        <v>1</v>
      </c>
      <c r="J182" s="63" t="s">
        <v>67</v>
      </c>
      <c r="K182" s="62">
        <v>46224</v>
      </c>
      <c r="L182" s="62">
        <v>46231</v>
      </c>
      <c r="M182" s="62">
        <v>46246</v>
      </c>
      <c r="N182" s="62">
        <v>46252</v>
      </c>
      <c r="O182" s="21" t="b">
        <v>0</v>
      </c>
      <c r="P182" s="21" t="b">
        <v>0</v>
      </c>
      <c r="Q182" s="17"/>
      <c r="R182" s="136"/>
      <c r="S182" s="136"/>
    </row>
    <row r="183" spans="1:19" ht="21.4" x14ac:dyDescent="0.3">
      <c r="A183" s="23" t="s">
        <v>64</v>
      </c>
      <c r="B183" s="59" t="s">
        <v>65</v>
      </c>
      <c r="C183" s="53" t="s">
        <v>1243</v>
      </c>
      <c r="D183" s="53" t="s">
        <v>353</v>
      </c>
      <c r="E183" s="53" t="s">
        <v>354</v>
      </c>
      <c r="F183" s="53" t="s">
        <v>286</v>
      </c>
      <c r="G183" s="3">
        <v>0.152</v>
      </c>
      <c r="H183" s="57">
        <v>46248</v>
      </c>
      <c r="I183" s="21" t="b">
        <v>1</v>
      </c>
      <c r="J183" s="63" t="s">
        <v>67</v>
      </c>
      <c r="K183" s="62">
        <v>46224</v>
      </c>
      <c r="L183" s="62">
        <v>46231</v>
      </c>
      <c r="M183" s="62">
        <v>46246</v>
      </c>
      <c r="N183" s="62">
        <v>46252</v>
      </c>
      <c r="O183" s="21" t="b">
        <v>0</v>
      </c>
      <c r="P183" s="21" t="b">
        <v>0</v>
      </c>
      <c r="Q183" s="17"/>
      <c r="R183" s="136"/>
      <c r="S183" s="136"/>
    </row>
    <row r="184" spans="1:19" ht="21.4" x14ac:dyDescent="0.3">
      <c r="A184" s="23" t="s">
        <v>68</v>
      </c>
      <c r="B184" s="59" t="s">
        <v>65</v>
      </c>
      <c r="C184" s="53" t="s">
        <v>1311</v>
      </c>
      <c r="D184" s="53" t="s">
        <v>284</v>
      </c>
      <c r="E184" s="53" t="s">
        <v>285</v>
      </c>
      <c r="F184" s="53" t="s">
        <v>286</v>
      </c>
      <c r="G184" s="3">
        <v>7.4999999999999997E-2</v>
      </c>
      <c r="H184" s="57">
        <v>46186</v>
      </c>
      <c r="I184" s="21" t="b">
        <v>0</v>
      </c>
      <c r="J184" s="63" t="s">
        <v>69</v>
      </c>
      <c r="K184" s="62">
        <v>46211</v>
      </c>
      <c r="L184" s="62">
        <v>46218</v>
      </c>
      <c r="M184" s="62">
        <v>46232</v>
      </c>
      <c r="N184" s="62">
        <v>46238</v>
      </c>
      <c r="O184" s="21" t="b">
        <v>1</v>
      </c>
      <c r="P184" s="21" t="b">
        <v>1</v>
      </c>
      <c r="Q184" s="57">
        <v>46273</v>
      </c>
      <c r="R184" s="136"/>
      <c r="S184" s="136"/>
    </row>
    <row r="185" spans="1:19" ht="21.4" x14ac:dyDescent="0.3">
      <c r="A185" s="23" t="s">
        <v>70</v>
      </c>
      <c r="B185" s="59" t="s">
        <v>65</v>
      </c>
      <c r="C185" s="53" t="s">
        <v>360</v>
      </c>
      <c r="D185" s="53" t="s">
        <v>284</v>
      </c>
      <c r="E185" s="53" t="s">
        <v>285</v>
      </c>
      <c r="F185" s="53" t="s">
        <v>286</v>
      </c>
      <c r="G185" s="3">
        <v>6.7000000000000004E-2</v>
      </c>
      <c r="H185" s="57">
        <v>46186</v>
      </c>
      <c r="I185" s="21" t="b">
        <v>1</v>
      </c>
      <c r="J185" s="63" t="s">
        <v>69</v>
      </c>
      <c r="K185" s="62">
        <v>46211</v>
      </c>
      <c r="L185" s="62">
        <v>46218</v>
      </c>
      <c r="M185" s="62">
        <v>46232</v>
      </c>
      <c r="N185" s="62">
        <v>46238</v>
      </c>
      <c r="O185" s="21" t="b">
        <v>0</v>
      </c>
      <c r="P185" s="21" t="b">
        <v>0</v>
      </c>
      <c r="Q185" s="17"/>
      <c r="R185" s="136"/>
      <c r="S185" s="136"/>
    </row>
    <row r="186" spans="1:19" ht="21.4" x14ac:dyDescent="0.3">
      <c r="A186" s="23" t="s">
        <v>71</v>
      </c>
      <c r="B186" s="59" t="s">
        <v>65</v>
      </c>
      <c r="C186" s="53" t="s">
        <v>1317</v>
      </c>
      <c r="D186" s="53" t="s">
        <v>284</v>
      </c>
      <c r="E186" s="53" t="s">
        <v>285</v>
      </c>
      <c r="F186" s="53" t="s">
        <v>286</v>
      </c>
      <c r="G186" s="3">
        <v>6.7000000000000004E-2</v>
      </c>
      <c r="H186" s="57">
        <v>46186</v>
      </c>
      <c r="I186" s="21" t="b">
        <v>0</v>
      </c>
      <c r="J186" s="63" t="s">
        <v>69</v>
      </c>
      <c r="K186" s="62">
        <v>46211</v>
      </c>
      <c r="L186" s="62">
        <v>46218</v>
      </c>
      <c r="M186" s="62">
        <v>46232</v>
      </c>
      <c r="N186" s="62">
        <v>46238</v>
      </c>
      <c r="O186" s="21" t="b">
        <v>1</v>
      </c>
      <c r="P186" s="21" t="b">
        <v>1</v>
      </c>
      <c r="Q186" s="57">
        <v>46279</v>
      </c>
      <c r="R186" s="136"/>
      <c r="S186" s="136"/>
    </row>
    <row r="187" spans="1:19" ht="21.4" x14ac:dyDescent="0.3">
      <c r="A187" s="23" t="s">
        <v>72</v>
      </c>
      <c r="B187" s="59" t="s">
        <v>65</v>
      </c>
      <c r="C187" s="53" t="s">
        <v>1249</v>
      </c>
      <c r="D187" s="53" t="s">
        <v>284</v>
      </c>
      <c r="E187" s="53" t="s">
        <v>285</v>
      </c>
      <c r="F187" s="53" t="s">
        <v>286</v>
      </c>
      <c r="G187" s="3">
        <v>0.106</v>
      </c>
      <c r="H187" s="57">
        <v>46186</v>
      </c>
      <c r="I187" s="21" t="b">
        <v>1</v>
      </c>
      <c r="J187" s="63" t="s">
        <v>69</v>
      </c>
      <c r="K187" s="62">
        <v>46211</v>
      </c>
      <c r="L187" s="62">
        <v>46218</v>
      </c>
      <c r="M187" s="62">
        <v>46232</v>
      </c>
      <c r="N187" s="62">
        <v>46238</v>
      </c>
      <c r="O187" s="21" t="b">
        <v>1</v>
      </c>
      <c r="P187" s="21" t="b">
        <v>1</v>
      </c>
      <c r="Q187" s="57">
        <v>46254</v>
      </c>
      <c r="R187" s="136"/>
      <c r="S187" s="136"/>
    </row>
    <row r="188" spans="1:19" ht="21.4" x14ac:dyDescent="0.3">
      <c r="A188" s="23" t="s">
        <v>73</v>
      </c>
      <c r="B188" s="59" t="s">
        <v>65</v>
      </c>
      <c r="C188" s="53" t="s">
        <v>1250</v>
      </c>
      <c r="D188" s="53" t="s">
        <v>284</v>
      </c>
      <c r="E188" s="53" t="s">
        <v>285</v>
      </c>
      <c r="F188" s="53" t="s">
        <v>286</v>
      </c>
      <c r="G188" s="3">
        <v>0.104</v>
      </c>
      <c r="H188" s="57">
        <v>46186</v>
      </c>
      <c r="I188" s="21" t="b">
        <v>1</v>
      </c>
      <c r="J188" s="63" t="s">
        <v>69</v>
      </c>
      <c r="K188" s="62">
        <v>46211</v>
      </c>
      <c r="L188" s="62">
        <v>46218</v>
      </c>
      <c r="M188" s="62">
        <v>46232</v>
      </c>
      <c r="N188" s="62">
        <v>46238</v>
      </c>
      <c r="O188" s="21" t="b">
        <v>1</v>
      </c>
      <c r="P188" s="21" t="b">
        <v>1</v>
      </c>
      <c r="Q188" s="57">
        <v>46254</v>
      </c>
      <c r="R188" s="136"/>
      <c r="S188" s="136"/>
    </row>
    <row r="189" spans="1:19" ht="21.4" x14ac:dyDescent="0.3">
      <c r="A189" s="23" t="s">
        <v>102</v>
      </c>
      <c r="B189" s="59" t="s">
        <v>65</v>
      </c>
      <c r="C189" s="53" t="s">
        <v>1312</v>
      </c>
      <c r="D189" s="53" t="s">
        <v>284</v>
      </c>
      <c r="E189" s="53" t="s">
        <v>285</v>
      </c>
      <c r="F189" s="53" t="s">
        <v>286</v>
      </c>
      <c r="G189" s="3">
        <v>0.14099999999999999</v>
      </c>
      <c r="H189" s="57">
        <v>46186</v>
      </c>
      <c r="I189" s="21" t="b">
        <v>1</v>
      </c>
      <c r="J189" s="63" t="s">
        <v>69</v>
      </c>
      <c r="K189" s="62">
        <v>46211</v>
      </c>
      <c r="L189" s="62">
        <v>46218</v>
      </c>
      <c r="M189" s="62">
        <v>46232</v>
      </c>
      <c r="N189" s="62">
        <v>46238</v>
      </c>
      <c r="O189" s="21" t="b">
        <v>1</v>
      </c>
      <c r="P189" s="21" t="b">
        <v>1</v>
      </c>
      <c r="Q189" s="57">
        <v>46273</v>
      </c>
      <c r="R189" s="136"/>
      <c r="S189" s="136"/>
    </row>
    <row r="190" spans="1:19" ht="21.4" x14ac:dyDescent="0.3">
      <c r="A190" s="23" t="s">
        <v>103</v>
      </c>
      <c r="B190" s="59" t="s">
        <v>65</v>
      </c>
      <c r="C190" s="53" t="s">
        <v>363</v>
      </c>
      <c r="D190" s="53" t="s">
        <v>284</v>
      </c>
      <c r="E190" s="53" t="s">
        <v>285</v>
      </c>
      <c r="F190" s="53" t="s">
        <v>286</v>
      </c>
      <c r="G190" s="3">
        <v>8.6999999999999994E-2</v>
      </c>
      <c r="H190" s="57">
        <v>46186</v>
      </c>
      <c r="I190" s="21" t="b">
        <v>1</v>
      </c>
      <c r="J190" s="63" t="s">
        <v>69</v>
      </c>
      <c r="K190" s="62">
        <v>46211</v>
      </c>
      <c r="L190" s="62">
        <v>46218</v>
      </c>
      <c r="M190" s="62">
        <v>46232</v>
      </c>
      <c r="N190" s="62">
        <v>46238</v>
      </c>
      <c r="O190" s="21" t="b">
        <v>0</v>
      </c>
      <c r="P190" s="21" t="b">
        <v>0</v>
      </c>
      <c r="Q190" s="17"/>
      <c r="R190" s="136"/>
      <c r="S190" s="136"/>
    </row>
    <row r="191" spans="1:19" ht="21.4" x14ac:dyDescent="0.3">
      <c r="A191" s="23" t="s">
        <v>104</v>
      </c>
      <c r="B191" s="59" t="s">
        <v>65</v>
      </c>
      <c r="C191" s="53" t="s">
        <v>364</v>
      </c>
      <c r="D191" s="53" t="s">
        <v>284</v>
      </c>
      <c r="E191" s="53" t="s">
        <v>285</v>
      </c>
      <c r="F191" s="53" t="s">
        <v>286</v>
      </c>
      <c r="G191" s="3">
        <v>6.9000000000000006E-2</v>
      </c>
      <c r="H191" s="57">
        <v>46186</v>
      </c>
      <c r="I191" s="21" t="b">
        <v>1</v>
      </c>
      <c r="J191" s="63" t="s">
        <v>69</v>
      </c>
      <c r="K191" s="62">
        <v>46211</v>
      </c>
      <c r="L191" s="62">
        <v>46218</v>
      </c>
      <c r="M191" s="62">
        <v>46232</v>
      </c>
      <c r="N191" s="62">
        <v>46238</v>
      </c>
      <c r="O191" s="21" t="b">
        <v>0</v>
      </c>
      <c r="P191" s="21" t="b">
        <v>0</v>
      </c>
      <c r="Q191" s="17"/>
      <c r="R191" s="136"/>
      <c r="S191" s="136"/>
    </row>
    <row r="192" spans="1:19" ht="21.4" x14ac:dyDescent="0.3">
      <c r="A192" s="3" t="s">
        <v>365</v>
      </c>
      <c r="B192" s="56" t="s">
        <v>79</v>
      </c>
      <c r="C192" s="53" t="s">
        <v>366</v>
      </c>
      <c r="D192" s="53" t="s">
        <v>284</v>
      </c>
      <c r="E192" s="53" t="s">
        <v>285</v>
      </c>
      <c r="F192" s="53" t="s">
        <v>367</v>
      </c>
      <c r="G192" s="3">
        <v>9.4E-2</v>
      </c>
      <c r="H192" s="57">
        <v>46171</v>
      </c>
      <c r="I192" s="21" t="b">
        <v>1</v>
      </c>
      <c r="J192" s="63" t="s">
        <v>143</v>
      </c>
      <c r="K192" s="62">
        <v>46134</v>
      </c>
      <c r="L192" s="62">
        <v>46142</v>
      </c>
      <c r="M192" s="62">
        <v>46157</v>
      </c>
      <c r="N192" s="62">
        <v>46163</v>
      </c>
      <c r="O192" s="21" t="b">
        <v>0</v>
      </c>
      <c r="P192" s="21" t="b">
        <v>0</v>
      </c>
      <c r="Q192" s="17"/>
      <c r="R192" s="136"/>
      <c r="S192" s="136"/>
    </row>
    <row r="193" spans="1:19" ht="21.4" x14ac:dyDescent="0.3">
      <c r="A193" s="3" t="s">
        <v>368</v>
      </c>
      <c r="B193" s="56" t="s">
        <v>79</v>
      </c>
      <c r="C193" s="53" t="s">
        <v>369</v>
      </c>
      <c r="D193" s="53" t="s">
        <v>284</v>
      </c>
      <c r="E193" s="53" t="s">
        <v>285</v>
      </c>
      <c r="F193" s="53" t="s">
        <v>370</v>
      </c>
      <c r="G193" s="3">
        <v>0.13100000000000001</v>
      </c>
      <c r="H193" s="57">
        <v>46136</v>
      </c>
      <c r="I193" s="21" t="b">
        <v>1</v>
      </c>
      <c r="J193" s="63" t="s">
        <v>143</v>
      </c>
      <c r="K193" s="62">
        <v>46134</v>
      </c>
      <c r="L193" s="62">
        <v>46142</v>
      </c>
      <c r="M193" s="62">
        <v>46157</v>
      </c>
      <c r="N193" s="62">
        <v>46163</v>
      </c>
      <c r="O193" s="21" t="b">
        <v>0</v>
      </c>
      <c r="P193" s="21" t="b">
        <v>0</v>
      </c>
      <c r="Q193" s="17"/>
      <c r="R193" s="136"/>
      <c r="S193" s="136"/>
    </row>
    <row r="204" spans="1:19" ht="18" x14ac:dyDescent="0.3">
      <c r="Q204" s="57"/>
    </row>
  </sheetData>
  <sortState xmlns:xlrd2="http://schemas.microsoft.com/office/spreadsheetml/2017/richdata2" ref="A2:N193">
    <sortCondition ref="A2:A193"/>
  </sortState>
  <phoneticPr fontId="10" type="noConversion"/>
  <conditionalFormatting sqref="C2:C3 C5:C63">
    <cfRule type="duplicateValues" dxfId="31" priority="2"/>
    <cfRule type="duplicateValues" dxfId="30" priority="5"/>
    <cfRule type="duplicateValues" dxfId="29" priority="6"/>
    <cfRule type="duplicateValues" dxfId="28" priority="7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3377-49F2-4AC6-BADC-C87EC68BCEC4}">
  <dimension ref="A1:F285"/>
  <sheetViews>
    <sheetView topLeftCell="A209" workbookViewId="0">
      <selection activeCell="I247" sqref="I247"/>
    </sheetView>
  </sheetViews>
  <sheetFormatPr defaultRowHeight="13.5" x14ac:dyDescent="0.3"/>
  <cols>
    <col min="1" max="1" width="14.46484375" bestFit="1" customWidth="1"/>
    <col min="2" max="2" width="18.265625" bestFit="1" customWidth="1"/>
    <col min="3" max="3" width="16.265625" bestFit="1" customWidth="1"/>
    <col min="4" max="4" width="11.59765625" bestFit="1" customWidth="1"/>
    <col min="5" max="5" width="15.86328125" bestFit="1" customWidth="1"/>
    <col min="6" max="6" width="12.73046875" bestFit="1" customWidth="1"/>
  </cols>
  <sheetData>
    <row r="1" spans="1:6" ht="14.65" x14ac:dyDescent="0.45">
      <c r="A1" s="91" t="s">
        <v>371</v>
      </c>
      <c r="B1" s="92" t="s">
        <v>372</v>
      </c>
      <c r="C1" s="68" t="s">
        <v>373</v>
      </c>
      <c r="D1" s="68" t="s">
        <v>3</v>
      </c>
      <c r="E1" s="68" t="s">
        <v>374</v>
      </c>
      <c r="F1" s="80" t="s">
        <v>375</v>
      </c>
    </row>
    <row r="2" spans="1:6" ht="14.25" x14ac:dyDescent="0.3">
      <c r="A2" s="90" t="s">
        <v>376</v>
      </c>
      <c r="B2" s="90" t="s">
        <v>377</v>
      </c>
      <c r="C2" s="69">
        <v>87819319</v>
      </c>
      <c r="D2" s="70">
        <v>87818883</v>
      </c>
      <c r="E2" s="71" t="s">
        <v>378</v>
      </c>
      <c r="F2" s="81" t="b">
        <v>1</v>
      </c>
    </row>
    <row r="3" spans="1:6" ht="14.25" x14ac:dyDescent="0.3">
      <c r="A3" s="90" t="s">
        <v>376</v>
      </c>
      <c r="B3" s="90" t="s">
        <v>379</v>
      </c>
      <c r="C3" s="69">
        <v>87819358</v>
      </c>
      <c r="D3" s="70">
        <v>87818883</v>
      </c>
      <c r="E3" s="71" t="s">
        <v>378</v>
      </c>
      <c r="F3" s="81" t="b">
        <v>1</v>
      </c>
    </row>
    <row r="4" spans="1:6" ht="14.25" x14ac:dyDescent="0.3">
      <c r="A4" s="90" t="s">
        <v>376</v>
      </c>
      <c r="B4" s="90" t="s">
        <v>380</v>
      </c>
      <c r="C4" s="69">
        <v>87819167</v>
      </c>
      <c r="D4" s="70">
        <v>87818883</v>
      </c>
      <c r="E4" s="71" t="s">
        <v>378</v>
      </c>
      <c r="F4" s="81" t="b">
        <v>1</v>
      </c>
    </row>
    <row r="5" spans="1:6" ht="14.25" x14ac:dyDescent="0.3">
      <c r="A5" s="90" t="s">
        <v>376</v>
      </c>
      <c r="B5" s="90" t="s">
        <v>381</v>
      </c>
      <c r="C5" s="69">
        <v>87819318</v>
      </c>
      <c r="D5" s="70">
        <v>87818883</v>
      </c>
      <c r="E5" s="71" t="s">
        <v>378</v>
      </c>
      <c r="F5" s="81" t="b">
        <v>1</v>
      </c>
    </row>
    <row r="6" spans="1:6" ht="14.25" x14ac:dyDescent="0.3">
      <c r="A6" s="90" t="s">
        <v>376</v>
      </c>
      <c r="B6" s="90" t="s">
        <v>382</v>
      </c>
      <c r="C6" s="69">
        <v>87819205</v>
      </c>
      <c r="D6" s="70">
        <v>87818883</v>
      </c>
      <c r="E6" s="71" t="s">
        <v>378</v>
      </c>
      <c r="F6" s="81" t="b">
        <v>1</v>
      </c>
    </row>
    <row r="7" spans="1:6" ht="14.25" x14ac:dyDescent="0.3">
      <c r="A7" s="90" t="s">
        <v>376</v>
      </c>
      <c r="B7" s="90" t="s">
        <v>383</v>
      </c>
      <c r="C7" s="69">
        <v>87819238</v>
      </c>
      <c r="D7" s="70">
        <v>87818883</v>
      </c>
      <c r="E7" s="71" t="s">
        <v>378</v>
      </c>
      <c r="F7" s="81" t="b">
        <v>1</v>
      </c>
    </row>
    <row r="8" spans="1:6" ht="14.25" x14ac:dyDescent="0.3">
      <c r="A8" s="90" t="s">
        <v>376</v>
      </c>
      <c r="B8" s="90" t="s">
        <v>384</v>
      </c>
      <c r="C8" s="69">
        <v>87819315</v>
      </c>
      <c r="D8" s="70">
        <v>87818883</v>
      </c>
      <c r="E8" s="71" t="s">
        <v>378</v>
      </c>
      <c r="F8" s="81" t="b">
        <v>1</v>
      </c>
    </row>
    <row r="9" spans="1:6" ht="14.25" x14ac:dyDescent="0.3">
      <c r="A9" s="90" t="s">
        <v>376</v>
      </c>
      <c r="B9" s="90" t="s">
        <v>385</v>
      </c>
      <c r="C9" s="69">
        <v>87819411</v>
      </c>
      <c r="D9" s="70">
        <v>87818883</v>
      </c>
      <c r="E9" s="71" t="s">
        <v>378</v>
      </c>
      <c r="F9" s="81" t="b">
        <v>1</v>
      </c>
    </row>
    <row r="10" spans="1:6" ht="14.25" x14ac:dyDescent="0.3">
      <c r="A10" s="90" t="s">
        <v>376</v>
      </c>
      <c r="B10" s="90" t="s">
        <v>386</v>
      </c>
      <c r="C10" s="69">
        <v>87819166</v>
      </c>
      <c r="D10" s="70">
        <v>87818883</v>
      </c>
      <c r="E10" s="71" t="s">
        <v>378</v>
      </c>
      <c r="F10" s="81" t="b">
        <v>1</v>
      </c>
    </row>
    <row r="11" spans="1:6" ht="14.25" x14ac:dyDescent="0.3">
      <c r="A11" s="90" t="s">
        <v>376</v>
      </c>
      <c r="B11" s="90" t="s">
        <v>387</v>
      </c>
      <c r="C11" s="69">
        <v>87819142</v>
      </c>
      <c r="D11" s="70">
        <v>87818883</v>
      </c>
      <c r="E11" s="71" t="s">
        <v>378</v>
      </c>
      <c r="F11" s="81" t="b">
        <v>1</v>
      </c>
    </row>
    <row r="12" spans="1:6" ht="14.25" x14ac:dyDescent="0.3">
      <c r="A12" s="90" t="s">
        <v>376</v>
      </c>
      <c r="B12" s="90" t="s">
        <v>388</v>
      </c>
      <c r="C12" s="69">
        <v>87819179</v>
      </c>
      <c r="D12" s="70">
        <v>87818883</v>
      </c>
      <c r="E12" s="71" t="s">
        <v>378</v>
      </c>
      <c r="F12" s="81" t="b">
        <v>1</v>
      </c>
    </row>
    <row r="13" spans="1:6" ht="14.25" x14ac:dyDescent="0.3">
      <c r="A13" s="90" t="s">
        <v>376</v>
      </c>
      <c r="B13" s="90" t="s">
        <v>389</v>
      </c>
      <c r="C13" s="69">
        <v>87819139</v>
      </c>
      <c r="D13" s="70">
        <v>87818883</v>
      </c>
      <c r="E13" s="71" t="s">
        <v>378</v>
      </c>
      <c r="F13" s="81" t="b">
        <v>1</v>
      </c>
    </row>
    <row r="14" spans="1:6" ht="14.25" x14ac:dyDescent="0.3">
      <c r="A14" s="90" t="s">
        <v>376</v>
      </c>
      <c r="B14" s="90" t="s">
        <v>390</v>
      </c>
      <c r="C14" s="69">
        <v>87819184</v>
      </c>
      <c r="D14" s="70">
        <v>87818883</v>
      </c>
      <c r="E14" s="71" t="s">
        <v>378</v>
      </c>
      <c r="F14" s="81" t="b">
        <v>1</v>
      </c>
    </row>
    <row r="15" spans="1:6" ht="14.25" x14ac:dyDescent="0.3">
      <c r="A15" s="90" t="s">
        <v>376</v>
      </c>
      <c r="B15" s="90" t="s">
        <v>391</v>
      </c>
      <c r="C15" s="69">
        <v>87819310</v>
      </c>
      <c r="D15" s="70">
        <v>87818883</v>
      </c>
      <c r="E15" s="71" t="s">
        <v>378</v>
      </c>
      <c r="F15" s="81" t="b">
        <v>1</v>
      </c>
    </row>
    <row r="16" spans="1:6" ht="14.25" x14ac:dyDescent="0.3">
      <c r="A16" s="90" t="s">
        <v>376</v>
      </c>
      <c r="B16" s="90" t="s">
        <v>392</v>
      </c>
      <c r="C16" s="69">
        <v>87819234</v>
      </c>
      <c r="D16" s="72">
        <v>87818877</v>
      </c>
      <c r="E16" s="73" t="s">
        <v>393</v>
      </c>
      <c r="F16" s="81" t="b">
        <v>1</v>
      </c>
    </row>
    <row r="17" spans="1:6" ht="14.25" x14ac:dyDescent="0.3">
      <c r="A17" s="90" t="s">
        <v>376</v>
      </c>
      <c r="B17" s="90" t="s">
        <v>394</v>
      </c>
      <c r="C17" s="69">
        <v>87819161</v>
      </c>
      <c r="D17" s="72">
        <v>87818877</v>
      </c>
      <c r="E17" s="73" t="s">
        <v>393</v>
      </c>
      <c r="F17" s="81" t="b">
        <v>1</v>
      </c>
    </row>
    <row r="18" spans="1:6" ht="14.25" x14ac:dyDescent="0.3">
      <c r="A18" s="90" t="s">
        <v>376</v>
      </c>
      <c r="B18" s="90" t="s">
        <v>395</v>
      </c>
      <c r="C18" s="69">
        <v>87819211</v>
      </c>
      <c r="D18" s="72">
        <v>87818877</v>
      </c>
      <c r="E18" s="73" t="s">
        <v>393</v>
      </c>
      <c r="F18" s="81" t="b">
        <v>1</v>
      </c>
    </row>
    <row r="19" spans="1:6" ht="14.25" x14ac:dyDescent="0.3">
      <c r="A19" s="90" t="s">
        <v>376</v>
      </c>
      <c r="B19" s="90" t="s">
        <v>396</v>
      </c>
      <c r="C19" s="69">
        <v>87819181</v>
      </c>
      <c r="D19" s="72">
        <v>87818877</v>
      </c>
      <c r="E19" s="73" t="s">
        <v>393</v>
      </c>
      <c r="F19" s="81" t="b">
        <v>1</v>
      </c>
    </row>
    <row r="20" spans="1:6" ht="14.25" x14ac:dyDescent="0.3">
      <c r="A20" s="90" t="s">
        <v>376</v>
      </c>
      <c r="B20" s="90" t="s">
        <v>397</v>
      </c>
      <c r="C20" s="69">
        <v>87819386</v>
      </c>
      <c r="D20" s="72">
        <v>87818877</v>
      </c>
      <c r="E20" s="73" t="s">
        <v>393</v>
      </c>
      <c r="F20" s="81" t="b">
        <v>1</v>
      </c>
    </row>
    <row r="21" spans="1:6" ht="14.25" x14ac:dyDescent="0.3">
      <c r="A21" s="90" t="s">
        <v>376</v>
      </c>
      <c r="B21" s="90" t="s">
        <v>398</v>
      </c>
      <c r="C21" s="69">
        <v>87819204</v>
      </c>
      <c r="D21" s="72">
        <v>87818877</v>
      </c>
      <c r="E21" s="73" t="s">
        <v>393</v>
      </c>
      <c r="F21" s="81" t="b">
        <v>1</v>
      </c>
    </row>
    <row r="22" spans="1:6" ht="14.25" x14ac:dyDescent="0.3">
      <c r="A22" s="90" t="s">
        <v>376</v>
      </c>
      <c r="B22" s="90" t="s">
        <v>399</v>
      </c>
      <c r="C22" s="69">
        <v>87819350</v>
      </c>
      <c r="D22" s="72">
        <v>87818878</v>
      </c>
      <c r="E22" s="74" t="s">
        <v>400</v>
      </c>
      <c r="F22" s="81" t="b">
        <v>1</v>
      </c>
    </row>
    <row r="23" spans="1:6" ht="14.25" x14ac:dyDescent="0.3">
      <c r="A23" s="90" t="s">
        <v>376</v>
      </c>
      <c r="B23" s="90" t="s">
        <v>401</v>
      </c>
      <c r="C23" s="69">
        <v>87819087</v>
      </c>
      <c r="D23" s="72">
        <v>87818878</v>
      </c>
      <c r="E23" s="74" t="s">
        <v>400</v>
      </c>
      <c r="F23" s="81" t="b">
        <v>1</v>
      </c>
    </row>
    <row r="24" spans="1:6" ht="14.25" x14ac:dyDescent="0.3">
      <c r="A24" s="90" t="s">
        <v>376</v>
      </c>
      <c r="B24" s="90" t="s">
        <v>402</v>
      </c>
      <c r="C24" s="69">
        <v>87819144</v>
      </c>
      <c r="D24" s="72">
        <v>87818878</v>
      </c>
      <c r="E24" s="74" t="s">
        <v>400</v>
      </c>
      <c r="F24" s="81" t="b">
        <v>1</v>
      </c>
    </row>
    <row r="25" spans="1:6" ht="14.25" x14ac:dyDescent="0.3">
      <c r="A25" s="90" t="s">
        <v>376</v>
      </c>
      <c r="B25" s="90" t="s">
        <v>403</v>
      </c>
      <c r="C25" s="69">
        <v>87819412</v>
      </c>
      <c r="D25" s="72">
        <v>87818878</v>
      </c>
      <c r="E25" s="74" t="s">
        <v>400</v>
      </c>
      <c r="F25" s="81" t="b">
        <v>1</v>
      </c>
    </row>
    <row r="26" spans="1:6" ht="14.25" x14ac:dyDescent="0.3">
      <c r="A26" s="90" t="s">
        <v>376</v>
      </c>
      <c r="B26" s="90" t="s">
        <v>404</v>
      </c>
      <c r="C26" s="69">
        <v>87819221</v>
      </c>
      <c r="D26" s="72">
        <v>87818878</v>
      </c>
      <c r="E26" s="74" t="s">
        <v>400</v>
      </c>
      <c r="F26" s="81" t="b">
        <v>1</v>
      </c>
    </row>
    <row r="27" spans="1:6" ht="14.25" x14ac:dyDescent="0.3">
      <c r="A27" s="90" t="s">
        <v>376</v>
      </c>
      <c r="B27" s="90" t="s">
        <v>405</v>
      </c>
      <c r="C27" s="69">
        <v>87819226</v>
      </c>
      <c r="D27" s="72">
        <v>87818878</v>
      </c>
      <c r="E27" s="74" t="s">
        <v>400</v>
      </c>
      <c r="F27" s="81" t="b">
        <v>1</v>
      </c>
    </row>
    <row r="28" spans="1:6" ht="14.25" x14ac:dyDescent="0.3">
      <c r="A28" s="90" t="s">
        <v>376</v>
      </c>
      <c r="B28" s="90" t="s">
        <v>406</v>
      </c>
      <c r="C28" s="69">
        <v>87819292</v>
      </c>
      <c r="D28" s="72">
        <v>87819009</v>
      </c>
      <c r="E28" s="73" t="s">
        <v>407</v>
      </c>
      <c r="F28" s="81" t="b">
        <v>1</v>
      </c>
    </row>
    <row r="29" spans="1:6" ht="14.25" x14ac:dyDescent="0.3">
      <c r="A29" s="90" t="s">
        <v>376</v>
      </c>
      <c r="B29" s="90" t="s">
        <v>408</v>
      </c>
      <c r="C29" s="69">
        <v>87819437</v>
      </c>
      <c r="D29" s="72">
        <v>87819009</v>
      </c>
      <c r="E29" s="73" t="s">
        <v>407</v>
      </c>
      <c r="F29" s="81" t="b">
        <v>1</v>
      </c>
    </row>
    <row r="30" spans="1:6" ht="14.25" x14ac:dyDescent="0.3">
      <c r="A30" s="90" t="s">
        <v>376</v>
      </c>
      <c r="B30" s="90" t="s">
        <v>409</v>
      </c>
      <c r="C30" s="69">
        <v>87819109</v>
      </c>
      <c r="D30" s="72">
        <v>87819009</v>
      </c>
      <c r="E30" s="73" t="s">
        <v>407</v>
      </c>
      <c r="F30" s="81" t="b">
        <v>1</v>
      </c>
    </row>
    <row r="31" spans="1:6" ht="14.25" x14ac:dyDescent="0.3">
      <c r="A31" s="90" t="s">
        <v>376</v>
      </c>
      <c r="B31" s="90" t="s">
        <v>410</v>
      </c>
      <c r="C31" s="69">
        <v>87819061</v>
      </c>
      <c r="D31" s="72">
        <v>87819009</v>
      </c>
      <c r="E31" s="73" t="s">
        <v>407</v>
      </c>
      <c r="F31" s="81" t="b">
        <v>1</v>
      </c>
    </row>
    <row r="32" spans="1:6" ht="14.25" x14ac:dyDescent="0.3">
      <c r="A32" s="90" t="s">
        <v>376</v>
      </c>
      <c r="B32" s="90" t="s">
        <v>411</v>
      </c>
      <c r="C32" s="69">
        <v>87819274</v>
      </c>
      <c r="D32" s="72">
        <v>87819009</v>
      </c>
      <c r="E32" s="73" t="s">
        <v>407</v>
      </c>
      <c r="F32" s="81" t="b">
        <v>1</v>
      </c>
    </row>
    <row r="33" spans="1:6" ht="14.25" x14ac:dyDescent="0.3">
      <c r="A33" s="90" t="s">
        <v>376</v>
      </c>
      <c r="B33" s="90" t="s">
        <v>412</v>
      </c>
      <c r="C33" s="69">
        <v>87819197</v>
      </c>
      <c r="D33" s="72">
        <v>87819009</v>
      </c>
      <c r="E33" s="73" t="s">
        <v>407</v>
      </c>
      <c r="F33" s="81" t="b">
        <v>1</v>
      </c>
    </row>
    <row r="34" spans="1:6" ht="14.25" x14ac:dyDescent="0.3">
      <c r="A34" s="90" t="s">
        <v>376</v>
      </c>
      <c r="B34" s="90" t="s">
        <v>413</v>
      </c>
      <c r="C34" s="69">
        <v>87819106</v>
      </c>
      <c r="D34" s="72">
        <v>87819009</v>
      </c>
      <c r="E34" s="73" t="s">
        <v>407</v>
      </c>
      <c r="F34" s="81" t="b">
        <v>1</v>
      </c>
    </row>
    <row r="35" spans="1:6" ht="14.25" x14ac:dyDescent="0.3">
      <c r="A35" s="90" t="s">
        <v>376</v>
      </c>
      <c r="B35" s="90" t="s">
        <v>414</v>
      </c>
      <c r="C35" s="69">
        <v>87819402</v>
      </c>
      <c r="D35" s="72">
        <v>87819009</v>
      </c>
      <c r="E35" s="73" t="s">
        <v>407</v>
      </c>
      <c r="F35" s="81" t="b">
        <v>1</v>
      </c>
    </row>
    <row r="36" spans="1:6" ht="14.25" x14ac:dyDescent="0.3">
      <c r="A36" s="90" t="s">
        <v>376</v>
      </c>
      <c r="B36" s="90" t="s">
        <v>415</v>
      </c>
      <c r="C36" s="69">
        <v>87819083</v>
      </c>
      <c r="D36" s="72">
        <v>87819009</v>
      </c>
      <c r="E36" s="73" t="s">
        <v>407</v>
      </c>
      <c r="F36" s="81" t="b">
        <v>1</v>
      </c>
    </row>
    <row r="37" spans="1:6" ht="14.25" x14ac:dyDescent="0.3">
      <c r="A37" s="90" t="s">
        <v>376</v>
      </c>
      <c r="B37" s="90" t="s">
        <v>416</v>
      </c>
      <c r="C37" s="69">
        <v>87819200</v>
      </c>
      <c r="D37" s="72">
        <v>87819009</v>
      </c>
      <c r="E37" s="73" t="s">
        <v>407</v>
      </c>
      <c r="F37" s="81" t="b">
        <v>1</v>
      </c>
    </row>
    <row r="38" spans="1:6" ht="14.25" x14ac:dyDescent="0.3">
      <c r="A38" s="90" t="s">
        <v>376</v>
      </c>
      <c r="B38" s="90" t="s">
        <v>417</v>
      </c>
      <c r="C38" s="69">
        <v>87819217</v>
      </c>
      <c r="D38" s="72">
        <v>87819009</v>
      </c>
      <c r="E38" s="73" t="s">
        <v>407</v>
      </c>
      <c r="F38" s="81" t="b">
        <v>1</v>
      </c>
    </row>
    <row r="39" spans="1:6" ht="14.25" x14ac:dyDescent="0.3">
      <c r="A39" s="90" t="s">
        <v>376</v>
      </c>
      <c r="B39" s="90" t="s">
        <v>418</v>
      </c>
      <c r="C39" s="69">
        <v>87819092</v>
      </c>
      <c r="D39" s="72">
        <v>87819009</v>
      </c>
      <c r="E39" s="73" t="s">
        <v>407</v>
      </c>
      <c r="F39" s="81" t="b">
        <v>1</v>
      </c>
    </row>
    <row r="40" spans="1:6" ht="14.25" x14ac:dyDescent="0.3">
      <c r="A40" s="90" t="s">
        <v>376</v>
      </c>
      <c r="B40" s="90" t="s">
        <v>419</v>
      </c>
      <c r="C40" s="69">
        <v>87819149</v>
      </c>
      <c r="D40" s="72">
        <v>87819009</v>
      </c>
      <c r="E40" s="73" t="s">
        <v>407</v>
      </c>
      <c r="F40" s="81" t="b">
        <v>1</v>
      </c>
    </row>
    <row r="41" spans="1:6" ht="14.25" x14ac:dyDescent="0.3">
      <c r="A41" s="90" t="s">
        <v>376</v>
      </c>
      <c r="B41" s="90" t="s">
        <v>420</v>
      </c>
      <c r="C41" s="69">
        <v>87819138</v>
      </c>
      <c r="D41" s="72">
        <v>87819009</v>
      </c>
      <c r="E41" s="73" t="s">
        <v>407</v>
      </c>
      <c r="F41" s="81" t="b">
        <v>1</v>
      </c>
    </row>
    <row r="42" spans="1:6" ht="14.25" x14ac:dyDescent="0.3">
      <c r="A42" s="90" t="s">
        <v>376</v>
      </c>
      <c r="B42" s="90" t="s">
        <v>421</v>
      </c>
      <c r="C42" s="69">
        <v>87819117</v>
      </c>
      <c r="D42" s="70">
        <v>87819003</v>
      </c>
      <c r="E42" s="69" t="s">
        <v>422</v>
      </c>
      <c r="F42" s="81" t="b">
        <v>1</v>
      </c>
    </row>
    <row r="43" spans="1:6" ht="14.25" x14ac:dyDescent="0.3">
      <c r="A43" s="90" t="s">
        <v>376</v>
      </c>
      <c r="B43" s="90" t="s">
        <v>423</v>
      </c>
      <c r="C43" s="69">
        <v>87819141</v>
      </c>
      <c r="D43" s="70">
        <v>87819003</v>
      </c>
      <c r="E43" s="69" t="s">
        <v>422</v>
      </c>
      <c r="F43" s="81" t="b">
        <v>1</v>
      </c>
    </row>
    <row r="44" spans="1:6" ht="14.25" x14ac:dyDescent="0.3">
      <c r="A44" s="90" t="s">
        <v>376</v>
      </c>
      <c r="B44" s="90" t="s">
        <v>424</v>
      </c>
      <c r="C44" s="69">
        <v>87819185</v>
      </c>
      <c r="D44" s="70">
        <v>87819003</v>
      </c>
      <c r="E44" s="69" t="s">
        <v>422</v>
      </c>
      <c r="F44" s="81" t="b">
        <v>1</v>
      </c>
    </row>
    <row r="45" spans="1:6" ht="14.25" x14ac:dyDescent="0.3">
      <c r="A45" s="90" t="s">
        <v>376</v>
      </c>
      <c r="B45" s="90" t="s">
        <v>425</v>
      </c>
      <c r="C45" s="69">
        <v>87819180</v>
      </c>
      <c r="D45" s="70">
        <v>87819003</v>
      </c>
      <c r="E45" s="69" t="s">
        <v>422</v>
      </c>
      <c r="F45" s="81" t="b">
        <v>1</v>
      </c>
    </row>
    <row r="46" spans="1:6" ht="14.25" x14ac:dyDescent="0.3">
      <c r="A46" s="90" t="s">
        <v>376</v>
      </c>
      <c r="B46" s="90" t="s">
        <v>426</v>
      </c>
      <c r="C46" s="69">
        <v>87819224</v>
      </c>
      <c r="D46" s="70">
        <v>87819003</v>
      </c>
      <c r="E46" s="69" t="s">
        <v>422</v>
      </c>
      <c r="F46" s="81" t="b">
        <v>1</v>
      </c>
    </row>
    <row r="47" spans="1:6" ht="14.25" x14ac:dyDescent="0.3">
      <c r="A47" s="90" t="s">
        <v>376</v>
      </c>
      <c r="B47" s="90" t="s">
        <v>427</v>
      </c>
      <c r="C47" s="69">
        <v>87819190</v>
      </c>
      <c r="D47" s="70">
        <v>87819003</v>
      </c>
      <c r="E47" s="69" t="s">
        <v>422</v>
      </c>
      <c r="F47" s="81" t="b">
        <v>1</v>
      </c>
    </row>
    <row r="48" spans="1:6" ht="14.25" x14ac:dyDescent="0.3">
      <c r="A48" s="90" t="s">
        <v>376</v>
      </c>
      <c r="B48" s="90" t="s">
        <v>428</v>
      </c>
      <c r="C48" s="69">
        <v>87819173</v>
      </c>
      <c r="D48" s="70">
        <v>87819003</v>
      </c>
      <c r="E48" s="69" t="s">
        <v>422</v>
      </c>
      <c r="F48" s="81" t="b">
        <v>1</v>
      </c>
    </row>
    <row r="49" spans="1:6" ht="14.25" x14ac:dyDescent="0.3">
      <c r="A49" s="90" t="s">
        <v>376</v>
      </c>
      <c r="B49" s="90" t="s">
        <v>429</v>
      </c>
      <c r="C49" s="69">
        <v>87819084</v>
      </c>
      <c r="D49" s="70">
        <v>87819003</v>
      </c>
      <c r="E49" s="69" t="s">
        <v>422</v>
      </c>
      <c r="F49" s="81" t="b">
        <v>1</v>
      </c>
    </row>
    <row r="50" spans="1:6" ht="14.25" x14ac:dyDescent="0.3">
      <c r="A50" s="90" t="s">
        <v>376</v>
      </c>
      <c r="B50" s="90" t="s">
        <v>430</v>
      </c>
      <c r="C50" s="69">
        <v>87819354</v>
      </c>
      <c r="D50" s="70">
        <v>87819003</v>
      </c>
      <c r="E50" s="69" t="s">
        <v>422</v>
      </c>
      <c r="F50" s="81" t="b">
        <v>1</v>
      </c>
    </row>
    <row r="51" spans="1:6" ht="14.25" x14ac:dyDescent="0.3">
      <c r="A51" s="90" t="s">
        <v>376</v>
      </c>
      <c r="B51" s="90" t="s">
        <v>431</v>
      </c>
      <c r="C51" s="69">
        <v>87819193</v>
      </c>
      <c r="D51" s="70">
        <v>87819003</v>
      </c>
      <c r="E51" s="69" t="s">
        <v>422</v>
      </c>
      <c r="F51" s="81" t="b">
        <v>1</v>
      </c>
    </row>
    <row r="52" spans="1:6" ht="14.25" x14ac:dyDescent="0.3">
      <c r="A52" s="90" t="s">
        <v>376</v>
      </c>
      <c r="B52" s="90" t="s">
        <v>432</v>
      </c>
      <c r="C52" s="69">
        <v>87819330</v>
      </c>
      <c r="D52" s="70">
        <v>87819003</v>
      </c>
      <c r="E52" s="69" t="s">
        <v>422</v>
      </c>
      <c r="F52" s="81" t="b">
        <v>1</v>
      </c>
    </row>
    <row r="53" spans="1:6" ht="14.25" x14ac:dyDescent="0.3">
      <c r="A53" s="90" t="s">
        <v>376</v>
      </c>
      <c r="B53" s="90" t="s">
        <v>433</v>
      </c>
      <c r="C53" s="75">
        <v>87819202</v>
      </c>
      <c r="D53" s="70">
        <v>87819003</v>
      </c>
      <c r="E53" s="75" t="s">
        <v>422</v>
      </c>
      <c r="F53" s="81" t="b">
        <v>1</v>
      </c>
    </row>
    <row r="54" spans="1:6" ht="14.25" x14ac:dyDescent="0.3">
      <c r="A54" s="90" t="s">
        <v>376</v>
      </c>
      <c r="B54" s="90" t="s">
        <v>434</v>
      </c>
      <c r="C54" s="69">
        <v>87819215</v>
      </c>
      <c r="D54" s="70">
        <v>87819003</v>
      </c>
      <c r="E54" s="69" t="s">
        <v>422</v>
      </c>
      <c r="F54" s="81" t="b">
        <v>1</v>
      </c>
    </row>
    <row r="55" spans="1:6" ht="14.25" x14ac:dyDescent="0.3">
      <c r="A55" s="90" t="s">
        <v>376</v>
      </c>
      <c r="B55" s="90" t="s">
        <v>435</v>
      </c>
      <c r="C55" s="69">
        <v>87819145</v>
      </c>
      <c r="D55" s="70">
        <v>87819003</v>
      </c>
      <c r="E55" s="69" t="s">
        <v>422</v>
      </c>
      <c r="F55" s="81" t="b">
        <v>1</v>
      </c>
    </row>
    <row r="56" spans="1:6" ht="14.25" x14ac:dyDescent="0.3">
      <c r="A56" s="90" t="s">
        <v>376</v>
      </c>
      <c r="B56" s="90" t="s">
        <v>436</v>
      </c>
      <c r="C56" s="69">
        <v>87819262</v>
      </c>
      <c r="D56" s="70">
        <v>87819002</v>
      </c>
      <c r="E56" s="73" t="s">
        <v>437</v>
      </c>
      <c r="F56" s="81" t="b">
        <v>1</v>
      </c>
    </row>
    <row r="57" spans="1:6" ht="14.25" x14ac:dyDescent="0.3">
      <c r="A57" s="90" t="s">
        <v>376</v>
      </c>
      <c r="B57" s="90" t="s">
        <v>438</v>
      </c>
      <c r="C57" s="69">
        <v>87819291</v>
      </c>
      <c r="D57" s="70">
        <v>87819002</v>
      </c>
      <c r="E57" s="73" t="s">
        <v>437</v>
      </c>
      <c r="F57" s="81" t="b">
        <v>1</v>
      </c>
    </row>
    <row r="58" spans="1:6" ht="14.25" x14ac:dyDescent="0.3">
      <c r="A58" s="90" t="s">
        <v>376</v>
      </c>
      <c r="B58" s="90" t="s">
        <v>439</v>
      </c>
      <c r="C58" s="69">
        <v>87819267</v>
      </c>
      <c r="D58" s="70">
        <v>87819002</v>
      </c>
      <c r="E58" s="73" t="s">
        <v>437</v>
      </c>
      <c r="F58" s="81" t="b">
        <v>1</v>
      </c>
    </row>
    <row r="59" spans="1:6" ht="14.25" x14ac:dyDescent="0.3">
      <c r="A59" s="90" t="s">
        <v>376</v>
      </c>
      <c r="B59" s="90" t="s">
        <v>440</v>
      </c>
      <c r="C59" s="69">
        <v>87819366</v>
      </c>
      <c r="D59" s="70">
        <v>87819002</v>
      </c>
      <c r="E59" s="73" t="s">
        <v>437</v>
      </c>
      <c r="F59" s="81" t="b">
        <v>1</v>
      </c>
    </row>
    <row r="60" spans="1:6" ht="14.25" x14ac:dyDescent="0.3">
      <c r="A60" s="90" t="s">
        <v>376</v>
      </c>
      <c r="B60" s="90" t="s">
        <v>441</v>
      </c>
      <c r="C60" s="69">
        <v>87819058</v>
      </c>
      <c r="D60" s="70">
        <v>87819002</v>
      </c>
      <c r="E60" s="73" t="s">
        <v>437</v>
      </c>
      <c r="F60" s="81" t="b">
        <v>1</v>
      </c>
    </row>
    <row r="61" spans="1:6" ht="14.25" x14ac:dyDescent="0.3">
      <c r="A61" s="90" t="s">
        <v>376</v>
      </c>
      <c r="B61" s="90" t="s">
        <v>442</v>
      </c>
      <c r="C61" s="69">
        <v>87819208</v>
      </c>
      <c r="D61" s="70">
        <v>87819002</v>
      </c>
      <c r="E61" s="73" t="s">
        <v>437</v>
      </c>
      <c r="F61" s="81" t="b">
        <v>1</v>
      </c>
    </row>
    <row r="62" spans="1:6" ht="14.25" x14ac:dyDescent="0.3">
      <c r="A62" s="90" t="s">
        <v>376</v>
      </c>
      <c r="B62" s="90" t="s">
        <v>443</v>
      </c>
      <c r="C62" s="69">
        <v>87819163</v>
      </c>
      <c r="D62" s="70">
        <v>87819002</v>
      </c>
      <c r="E62" s="73" t="s">
        <v>437</v>
      </c>
      <c r="F62" s="81" t="b">
        <v>1</v>
      </c>
    </row>
    <row r="63" spans="1:6" ht="14.25" x14ac:dyDescent="0.3">
      <c r="A63" s="90" t="s">
        <v>376</v>
      </c>
      <c r="B63" s="90" t="s">
        <v>444</v>
      </c>
      <c r="C63" s="69">
        <v>87819107</v>
      </c>
      <c r="D63" s="70">
        <v>87819002</v>
      </c>
      <c r="E63" s="73" t="s">
        <v>437</v>
      </c>
      <c r="F63" s="81" t="b">
        <v>1</v>
      </c>
    </row>
    <row r="64" spans="1:6" ht="14.25" x14ac:dyDescent="0.3">
      <c r="A64" s="90" t="s">
        <v>376</v>
      </c>
      <c r="B64" s="90" t="s">
        <v>445</v>
      </c>
      <c r="C64" s="69">
        <v>87819121</v>
      </c>
      <c r="D64" s="70">
        <v>87818863</v>
      </c>
      <c r="E64" s="69" t="s">
        <v>446</v>
      </c>
      <c r="F64" s="81" t="b">
        <v>1</v>
      </c>
    </row>
    <row r="65" spans="1:6" ht="14.25" x14ac:dyDescent="0.3">
      <c r="A65" s="90" t="s">
        <v>376</v>
      </c>
      <c r="B65" s="90" t="s">
        <v>447</v>
      </c>
      <c r="C65" s="69">
        <v>87819220</v>
      </c>
      <c r="D65" s="70">
        <v>87818863</v>
      </c>
      <c r="E65" s="69" t="s">
        <v>446</v>
      </c>
      <c r="F65" s="81" t="b">
        <v>1</v>
      </c>
    </row>
    <row r="66" spans="1:6" ht="14.25" x14ac:dyDescent="0.3">
      <c r="A66" s="90" t="s">
        <v>376</v>
      </c>
      <c r="B66" s="90" t="s">
        <v>448</v>
      </c>
      <c r="C66" s="69">
        <v>87819459</v>
      </c>
      <c r="D66" s="70">
        <v>87818863</v>
      </c>
      <c r="E66" s="69" t="s">
        <v>446</v>
      </c>
      <c r="F66" s="81" t="b">
        <v>1</v>
      </c>
    </row>
    <row r="67" spans="1:6" ht="14.25" x14ac:dyDescent="0.3">
      <c r="A67" s="90" t="s">
        <v>376</v>
      </c>
      <c r="B67" s="90" t="s">
        <v>449</v>
      </c>
      <c r="C67" s="69">
        <v>87819191</v>
      </c>
      <c r="D67" s="70">
        <v>87818863</v>
      </c>
      <c r="E67" s="69" t="s">
        <v>446</v>
      </c>
      <c r="F67" s="81" t="b">
        <v>1</v>
      </c>
    </row>
    <row r="68" spans="1:6" ht="14.25" x14ac:dyDescent="0.3">
      <c r="A68" s="90" t="s">
        <v>376</v>
      </c>
      <c r="B68" s="90" t="s">
        <v>450</v>
      </c>
      <c r="C68" s="69">
        <v>87819339</v>
      </c>
      <c r="D68" s="70">
        <v>87818863</v>
      </c>
      <c r="E68" s="69" t="s">
        <v>446</v>
      </c>
      <c r="F68" s="81" t="b">
        <v>1</v>
      </c>
    </row>
    <row r="69" spans="1:6" ht="14.25" x14ac:dyDescent="0.3">
      <c r="A69" s="90" t="s">
        <v>376</v>
      </c>
      <c r="B69" s="90" t="s">
        <v>451</v>
      </c>
      <c r="C69" s="69">
        <v>87819239</v>
      </c>
      <c r="D69" s="70">
        <v>87818863</v>
      </c>
      <c r="E69" s="69" t="s">
        <v>446</v>
      </c>
      <c r="F69" s="81" t="b">
        <v>1</v>
      </c>
    </row>
    <row r="70" spans="1:6" ht="14.25" x14ac:dyDescent="0.3">
      <c r="A70" s="90" t="s">
        <v>376</v>
      </c>
      <c r="B70" s="90" t="s">
        <v>452</v>
      </c>
      <c r="C70" s="69">
        <v>87819230</v>
      </c>
      <c r="D70" s="70">
        <v>87819008</v>
      </c>
      <c r="E70" s="73" t="s">
        <v>453</v>
      </c>
      <c r="F70" s="81" t="b">
        <v>1</v>
      </c>
    </row>
    <row r="71" spans="1:6" ht="14.25" x14ac:dyDescent="0.3">
      <c r="A71" s="90" t="s">
        <v>376</v>
      </c>
      <c r="B71" s="90" t="s">
        <v>454</v>
      </c>
      <c r="C71" s="69">
        <v>87819116</v>
      </c>
      <c r="D71" s="70">
        <v>87819008</v>
      </c>
      <c r="E71" s="73" t="s">
        <v>453</v>
      </c>
      <c r="F71" s="81" t="b">
        <v>1</v>
      </c>
    </row>
    <row r="72" spans="1:6" ht="14.25" x14ac:dyDescent="0.3">
      <c r="A72" s="90" t="s">
        <v>376</v>
      </c>
      <c r="B72" s="90" t="s">
        <v>455</v>
      </c>
      <c r="C72" s="69">
        <v>87819406</v>
      </c>
      <c r="D72" s="70">
        <v>87819008</v>
      </c>
      <c r="E72" s="73" t="s">
        <v>453</v>
      </c>
      <c r="F72" s="81" t="b">
        <v>1</v>
      </c>
    </row>
    <row r="73" spans="1:6" ht="14.25" x14ac:dyDescent="0.3">
      <c r="A73" s="90" t="s">
        <v>376</v>
      </c>
      <c r="B73" s="90" t="s">
        <v>456</v>
      </c>
      <c r="C73" s="69">
        <v>87819271</v>
      </c>
      <c r="D73" s="70">
        <v>87819008</v>
      </c>
      <c r="E73" s="73" t="s">
        <v>453</v>
      </c>
      <c r="F73" s="81" t="b">
        <v>1</v>
      </c>
    </row>
    <row r="74" spans="1:6" ht="14.25" x14ac:dyDescent="0.3">
      <c r="A74" s="90" t="s">
        <v>376</v>
      </c>
      <c r="B74" s="90" t="s">
        <v>457</v>
      </c>
      <c r="C74" s="69">
        <v>87819465</v>
      </c>
      <c r="D74" s="70">
        <v>87819008</v>
      </c>
      <c r="E74" s="73" t="s">
        <v>453</v>
      </c>
      <c r="F74" s="81" t="b">
        <v>1</v>
      </c>
    </row>
    <row r="75" spans="1:6" ht="14.25" x14ac:dyDescent="0.3">
      <c r="A75" s="90" t="s">
        <v>376</v>
      </c>
      <c r="B75" s="90" t="s">
        <v>458</v>
      </c>
      <c r="C75" s="69">
        <v>87819414</v>
      </c>
      <c r="D75" s="70">
        <v>87819008</v>
      </c>
      <c r="E75" s="73" t="s">
        <v>453</v>
      </c>
      <c r="F75" s="81" t="b">
        <v>1</v>
      </c>
    </row>
    <row r="76" spans="1:6" ht="14.25" x14ac:dyDescent="0.3">
      <c r="A76" s="90" t="s">
        <v>376</v>
      </c>
      <c r="B76" s="90" t="s">
        <v>459</v>
      </c>
      <c r="C76" s="69">
        <v>87819246</v>
      </c>
      <c r="D76" s="70">
        <v>87819008</v>
      </c>
      <c r="E76" s="73" t="s">
        <v>453</v>
      </c>
      <c r="F76" s="81" t="b">
        <v>1</v>
      </c>
    </row>
    <row r="77" spans="1:6" ht="14.25" x14ac:dyDescent="0.3">
      <c r="A77" s="90" t="s">
        <v>376</v>
      </c>
      <c r="B77" s="90" t="s">
        <v>460</v>
      </c>
      <c r="C77" s="69">
        <v>87819407</v>
      </c>
      <c r="D77" s="70">
        <v>87819008</v>
      </c>
      <c r="E77" s="73" t="s">
        <v>453</v>
      </c>
      <c r="F77" s="81" t="b">
        <v>1</v>
      </c>
    </row>
    <row r="78" spans="1:6" ht="14.25" x14ac:dyDescent="0.3">
      <c r="A78" s="90" t="s">
        <v>376</v>
      </c>
      <c r="B78" s="90" t="s">
        <v>461</v>
      </c>
      <c r="C78" s="69">
        <v>87819225</v>
      </c>
      <c r="D78" s="70">
        <v>87819008</v>
      </c>
      <c r="E78" s="73" t="s">
        <v>453</v>
      </c>
      <c r="F78" s="81" t="b">
        <v>1</v>
      </c>
    </row>
    <row r="79" spans="1:6" ht="14.25" x14ac:dyDescent="0.3">
      <c r="A79" s="90" t="s">
        <v>376</v>
      </c>
      <c r="B79" s="90" t="s">
        <v>462</v>
      </c>
      <c r="C79" s="69">
        <v>87778565</v>
      </c>
      <c r="D79" s="70">
        <v>87819008</v>
      </c>
      <c r="E79" s="73" t="s">
        <v>453</v>
      </c>
      <c r="F79" s="81" t="b">
        <v>1</v>
      </c>
    </row>
    <row r="80" spans="1:6" ht="14.25" x14ac:dyDescent="0.3">
      <c r="A80" s="90" t="s">
        <v>376</v>
      </c>
      <c r="B80" s="90" t="s">
        <v>463</v>
      </c>
      <c r="C80" s="69">
        <v>87819334</v>
      </c>
      <c r="D80" s="70">
        <v>87819008</v>
      </c>
      <c r="E80" s="73" t="s">
        <v>453</v>
      </c>
      <c r="F80" s="81" t="b">
        <v>1</v>
      </c>
    </row>
    <row r="81" spans="1:6" ht="14.25" x14ac:dyDescent="0.3">
      <c r="A81" s="90" t="s">
        <v>376</v>
      </c>
      <c r="B81" s="90" t="s">
        <v>464</v>
      </c>
      <c r="C81" s="69">
        <v>87819064</v>
      </c>
      <c r="D81" s="70">
        <v>87819008</v>
      </c>
      <c r="E81" s="73" t="s">
        <v>453</v>
      </c>
      <c r="F81" s="81" t="b">
        <v>1</v>
      </c>
    </row>
    <row r="82" spans="1:6" ht="14.25" x14ac:dyDescent="0.3">
      <c r="A82" s="90" t="s">
        <v>376</v>
      </c>
      <c r="B82" s="90" t="s">
        <v>465</v>
      </c>
      <c r="C82" s="69">
        <v>87819110</v>
      </c>
      <c r="D82" s="70">
        <v>87819008</v>
      </c>
      <c r="E82" s="73" t="s">
        <v>453</v>
      </c>
      <c r="F82" s="81" t="b">
        <v>1</v>
      </c>
    </row>
    <row r="83" spans="1:6" ht="14.25" x14ac:dyDescent="0.3">
      <c r="A83" s="90" t="s">
        <v>376</v>
      </c>
      <c r="B83" s="90" t="s">
        <v>466</v>
      </c>
      <c r="C83" s="69">
        <v>87819470</v>
      </c>
      <c r="D83" s="70">
        <v>87819008</v>
      </c>
      <c r="E83" s="73" t="s">
        <v>453</v>
      </c>
      <c r="F83" s="81" t="b">
        <v>1</v>
      </c>
    </row>
    <row r="84" spans="1:6" ht="14.25" x14ac:dyDescent="0.3">
      <c r="A84" s="90" t="s">
        <v>376</v>
      </c>
      <c r="B84" s="90" t="s">
        <v>467</v>
      </c>
      <c r="C84" s="69">
        <v>87819210</v>
      </c>
      <c r="D84" s="70">
        <v>87818879</v>
      </c>
      <c r="E84" s="69" t="s">
        <v>468</v>
      </c>
      <c r="F84" s="81" t="b">
        <v>1</v>
      </c>
    </row>
    <row r="85" spans="1:6" ht="14.25" x14ac:dyDescent="0.3">
      <c r="A85" s="90" t="s">
        <v>376</v>
      </c>
      <c r="B85" s="90" t="s">
        <v>469</v>
      </c>
      <c r="C85" s="69">
        <v>87819265</v>
      </c>
      <c r="D85" s="70">
        <v>87818879</v>
      </c>
      <c r="E85" s="69" t="s">
        <v>468</v>
      </c>
      <c r="F85" s="81" t="b">
        <v>1</v>
      </c>
    </row>
    <row r="86" spans="1:6" ht="14.25" x14ac:dyDescent="0.3">
      <c r="A86" s="90" t="s">
        <v>376</v>
      </c>
      <c r="B86" s="90" t="s">
        <v>470</v>
      </c>
      <c r="C86" s="69">
        <v>87819212</v>
      </c>
      <c r="D86" s="70">
        <v>87818879</v>
      </c>
      <c r="E86" s="69" t="s">
        <v>468</v>
      </c>
      <c r="F86" s="81" t="b">
        <v>1</v>
      </c>
    </row>
    <row r="87" spans="1:6" ht="14.25" x14ac:dyDescent="0.3">
      <c r="A87" s="90" t="s">
        <v>376</v>
      </c>
      <c r="B87" s="90" t="s">
        <v>471</v>
      </c>
      <c r="C87" s="69">
        <v>87819155</v>
      </c>
      <c r="D87" s="70">
        <v>87818879</v>
      </c>
      <c r="E87" s="69" t="s">
        <v>468</v>
      </c>
      <c r="F87" s="81" t="b">
        <v>1</v>
      </c>
    </row>
    <row r="88" spans="1:6" ht="14.25" x14ac:dyDescent="0.3">
      <c r="A88" s="90" t="s">
        <v>376</v>
      </c>
      <c r="B88" s="90" t="s">
        <v>472</v>
      </c>
      <c r="C88" s="69">
        <v>87819137</v>
      </c>
      <c r="D88" s="70">
        <v>87818879</v>
      </c>
      <c r="E88" s="69" t="s">
        <v>468</v>
      </c>
      <c r="F88" s="81" t="b">
        <v>1</v>
      </c>
    </row>
    <row r="89" spans="1:6" ht="14.25" x14ac:dyDescent="0.3">
      <c r="A89" s="90" t="s">
        <v>376</v>
      </c>
      <c r="B89" s="90" t="s">
        <v>473</v>
      </c>
      <c r="C89" s="69">
        <v>87819158</v>
      </c>
      <c r="D89" s="70">
        <v>87818879</v>
      </c>
      <c r="E89" s="69" t="s">
        <v>468</v>
      </c>
      <c r="F89" s="81" t="b">
        <v>1</v>
      </c>
    </row>
    <row r="90" spans="1:6" ht="14.25" x14ac:dyDescent="0.3">
      <c r="A90" s="90" t="s">
        <v>376</v>
      </c>
      <c r="B90" s="90" t="s">
        <v>474</v>
      </c>
      <c r="C90" s="69">
        <v>87819088</v>
      </c>
      <c r="D90" s="70">
        <v>87818879</v>
      </c>
      <c r="E90" s="69" t="s">
        <v>468</v>
      </c>
      <c r="F90" s="81" t="b">
        <v>1</v>
      </c>
    </row>
    <row r="91" spans="1:6" ht="14.25" x14ac:dyDescent="0.3">
      <c r="A91" s="90" t="s">
        <v>376</v>
      </c>
      <c r="B91" s="90" t="s">
        <v>475</v>
      </c>
      <c r="C91" s="69">
        <v>87819156</v>
      </c>
      <c r="D91" s="70">
        <v>87818879</v>
      </c>
      <c r="E91" s="69" t="s">
        <v>468</v>
      </c>
      <c r="F91" s="81" t="b">
        <v>1</v>
      </c>
    </row>
    <row r="92" spans="1:6" ht="14.25" x14ac:dyDescent="0.3">
      <c r="A92" s="90" t="s">
        <v>376</v>
      </c>
      <c r="B92" s="90" t="s">
        <v>476</v>
      </c>
      <c r="C92" s="69">
        <v>87819258</v>
      </c>
      <c r="D92" s="70">
        <v>87818879</v>
      </c>
      <c r="E92" s="69" t="s">
        <v>468</v>
      </c>
      <c r="F92" s="81" t="b">
        <v>1</v>
      </c>
    </row>
    <row r="93" spans="1:6" ht="14.25" x14ac:dyDescent="0.3">
      <c r="A93" s="90" t="s">
        <v>376</v>
      </c>
      <c r="B93" s="90" t="s">
        <v>477</v>
      </c>
      <c r="C93" s="69">
        <v>87819135</v>
      </c>
      <c r="D93" s="70">
        <v>87818879</v>
      </c>
      <c r="E93" s="69" t="s">
        <v>468</v>
      </c>
      <c r="F93" s="81" t="b">
        <v>1</v>
      </c>
    </row>
    <row r="94" spans="1:6" ht="14.25" x14ac:dyDescent="0.3">
      <c r="A94" s="90" t="s">
        <v>376</v>
      </c>
      <c r="B94" s="90" t="s">
        <v>478</v>
      </c>
      <c r="C94" s="69">
        <v>87819207</v>
      </c>
      <c r="D94" s="70">
        <v>87818879</v>
      </c>
      <c r="E94" s="69" t="s">
        <v>468</v>
      </c>
      <c r="F94" s="81" t="b">
        <v>1</v>
      </c>
    </row>
    <row r="95" spans="1:6" ht="14.25" x14ac:dyDescent="0.3">
      <c r="A95" s="90" t="s">
        <v>376</v>
      </c>
      <c r="B95" s="90" t="s">
        <v>479</v>
      </c>
      <c r="C95" s="69">
        <v>87819344</v>
      </c>
      <c r="D95" s="70">
        <v>87818879</v>
      </c>
      <c r="E95" s="69" t="s">
        <v>468</v>
      </c>
      <c r="F95" s="81" t="b">
        <v>1</v>
      </c>
    </row>
    <row r="96" spans="1:6" ht="14.25" x14ac:dyDescent="0.3">
      <c r="A96" s="90" t="s">
        <v>376</v>
      </c>
      <c r="B96" s="90" t="s">
        <v>480</v>
      </c>
      <c r="C96" s="69">
        <v>87819157</v>
      </c>
      <c r="D96" s="70">
        <v>87818879</v>
      </c>
      <c r="E96" s="69" t="s">
        <v>468</v>
      </c>
      <c r="F96" s="81" t="b">
        <v>1</v>
      </c>
    </row>
    <row r="97" spans="1:6" ht="14.25" x14ac:dyDescent="0.3">
      <c r="A97" s="90" t="s">
        <v>376</v>
      </c>
      <c r="B97" s="90" t="s">
        <v>481</v>
      </c>
      <c r="C97" s="69">
        <v>87819206</v>
      </c>
      <c r="D97" s="70">
        <v>87818879</v>
      </c>
      <c r="E97" s="69" t="s">
        <v>468</v>
      </c>
      <c r="F97" s="81" t="b">
        <v>1</v>
      </c>
    </row>
    <row r="98" spans="1:6" ht="14.25" x14ac:dyDescent="0.3">
      <c r="A98" s="90" t="s">
        <v>376</v>
      </c>
      <c r="B98" s="90" t="s">
        <v>482</v>
      </c>
      <c r="C98" s="69">
        <v>87819182</v>
      </c>
      <c r="D98" s="70">
        <v>87819007</v>
      </c>
      <c r="E98" s="73" t="s">
        <v>483</v>
      </c>
      <c r="F98" s="81" t="b">
        <v>1</v>
      </c>
    </row>
    <row r="99" spans="1:6" ht="14.25" x14ac:dyDescent="0.3">
      <c r="A99" s="90" t="s">
        <v>376</v>
      </c>
      <c r="B99" s="90" t="s">
        <v>484</v>
      </c>
      <c r="C99" s="69">
        <v>87819183</v>
      </c>
      <c r="D99" s="70">
        <v>87819007</v>
      </c>
      <c r="E99" s="73" t="s">
        <v>483</v>
      </c>
      <c r="F99" s="81" t="b">
        <v>1</v>
      </c>
    </row>
    <row r="100" spans="1:6" ht="14.25" x14ac:dyDescent="0.3">
      <c r="A100" s="90" t="s">
        <v>376</v>
      </c>
      <c r="B100" s="90" t="s">
        <v>485</v>
      </c>
      <c r="C100" s="75">
        <v>87819203</v>
      </c>
      <c r="D100" s="70">
        <v>87819007</v>
      </c>
      <c r="E100" s="76" t="s">
        <v>483</v>
      </c>
      <c r="F100" s="81" t="b">
        <v>1</v>
      </c>
    </row>
    <row r="101" spans="1:6" ht="14.25" x14ac:dyDescent="0.3">
      <c r="A101" s="90" t="s">
        <v>376</v>
      </c>
      <c r="B101" s="90" t="s">
        <v>486</v>
      </c>
      <c r="C101" s="69">
        <v>87819085</v>
      </c>
      <c r="D101" s="70">
        <v>87819007</v>
      </c>
      <c r="E101" s="73" t="s">
        <v>483</v>
      </c>
      <c r="F101" s="81" t="b">
        <v>1</v>
      </c>
    </row>
    <row r="102" spans="1:6" ht="14.25" x14ac:dyDescent="0.3">
      <c r="A102" s="90" t="s">
        <v>376</v>
      </c>
      <c r="B102" s="90" t="s">
        <v>487</v>
      </c>
      <c r="C102" s="69">
        <v>87819209</v>
      </c>
      <c r="D102" s="70">
        <v>87819007</v>
      </c>
      <c r="E102" s="73" t="s">
        <v>483</v>
      </c>
      <c r="F102" s="81" t="b">
        <v>1</v>
      </c>
    </row>
    <row r="103" spans="1:6" ht="14.25" x14ac:dyDescent="0.3">
      <c r="A103" s="90" t="s">
        <v>376</v>
      </c>
      <c r="B103" s="90" t="s">
        <v>488</v>
      </c>
      <c r="C103" s="69">
        <v>87819454</v>
      </c>
      <c r="D103" s="70">
        <v>87819007</v>
      </c>
      <c r="E103" s="73" t="s">
        <v>483</v>
      </c>
      <c r="F103" s="81" t="b">
        <v>1</v>
      </c>
    </row>
    <row r="104" spans="1:6" ht="14.25" x14ac:dyDescent="0.3">
      <c r="A104" s="90" t="s">
        <v>376</v>
      </c>
      <c r="B104" s="90" t="s">
        <v>489</v>
      </c>
      <c r="C104" s="69">
        <v>87819362</v>
      </c>
      <c r="D104" s="70">
        <v>87819007</v>
      </c>
      <c r="E104" s="73" t="s">
        <v>483</v>
      </c>
      <c r="F104" s="81" t="b">
        <v>1</v>
      </c>
    </row>
    <row r="105" spans="1:6" ht="14.25" x14ac:dyDescent="0.3">
      <c r="A105" s="90" t="s">
        <v>376</v>
      </c>
      <c r="B105" s="90" t="s">
        <v>490</v>
      </c>
      <c r="C105" s="69">
        <v>87819115</v>
      </c>
      <c r="D105" s="70">
        <v>87819007</v>
      </c>
      <c r="E105" s="73" t="s">
        <v>483</v>
      </c>
      <c r="F105" s="81" t="b">
        <v>1</v>
      </c>
    </row>
    <row r="106" spans="1:6" ht="14.25" x14ac:dyDescent="0.3">
      <c r="A106" s="90" t="s">
        <v>376</v>
      </c>
      <c r="B106" s="90" t="s">
        <v>491</v>
      </c>
      <c r="C106" s="69">
        <v>87819382</v>
      </c>
      <c r="D106" s="70">
        <v>87819005</v>
      </c>
      <c r="E106" s="69" t="s">
        <v>492</v>
      </c>
      <c r="F106" s="81" t="b">
        <v>1</v>
      </c>
    </row>
    <row r="107" spans="1:6" ht="14.25" x14ac:dyDescent="0.3">
      <c r="A107" s="90" t="s">
        <v>376</v>
      </c>
      <c r="B107" s="90" t="s">
        <v>493</v>
      </c>
      <c r="C107" s="69">
        <v>87819169</v>
      </c>
      <c r="D107" s="70">
        <v>87819005</v>
      </c>
      <c r="E107" s="69" t="s">
        <v>492</v>
      </c>
      <c r="F107" s="81" t="b">
        <v>1</v>
      </c>
    </row>
    <row r="108" spans="1:6" ht="14.25" x14ac:dyDescent="0.3">
      <c r="A108" s="90" t="s">
        <v>376</v>
      </c>
      <c r="B108" s="90" t="s">
        <v>494</v>
      </c>
      <c r="C108" s="69">
        <v>87819263</v>
      </c>
      <c r="D108" s="70">
        <v>87819005</v>
      </c>
      <c r="E108" s="69" t="s">
        <v>492</v>
      </c>
      <c r="F108" s="81" t="b">
        <v>1</v>
      </c>
    </row>
    <row r="109" spans="1:6" ht="14.25" x14ac:dyDescent="0.3">
      <c r="A109" s="90" t="s">
        <v>376</v>
      </c>
      <c r="B109" s="90" t="s">
        <v>495</v>
      </c>
      <c r="C109" s="69">
        <v>87819298</v>
      </c>
      <c r="D109" s="70">
        <v>87819005</v>
      </c>
      <c r="E109" s="69" t="s">
        <v>492</v>
      </c>
      <c r="F109" s="81" t="b">
        <v>1</v>
      </c>
    </row>
    <row r="110" spans="1:6" ht="14.25" x14ac:dyDescent="0.3">
      <c r="A110" s="90" t="s">
        <v>376</v>
      </c>
      <c r="B110" s="90" t="s">
        <v>496</v>
      </c>
      <c r="C110" s="69">
        <v>87819241</v>
      </c>
      <c r="D110" s="70">
        <v>87819005</v>
      </c>
      <c r="E110" s="69" t="s">
        <v>492</v>
      </c>
      <c r="F110" s="81" t="b">
        <v>1</v>
      </c>
    </row>
    <row r="111" spans="1:6" ht="14.25" x14ac:dyDescent="0.3">
      <c r="A111" s="90" t="s">
        <v>376</v>
      </c>
      <c r="B111" s="90" t="s">
        <v>497</v>
      </c>
      <c r="C111" s="69">
        <v>87778578</v>
      </c>
      <c r="D111" s="70">
        <v>87819005</v>
      </c>
      <c r="E111" s="69" t="s">
        <v>492</v>
      </c>
      <c r="F111" s="81" t="b">
        <v>1</v>
      </c>
    </row>
    <row r="112" spans="1:6" ht="14.25" x14ac:dyDescent="0.3">
      <c r="A112" s="90" t="s">
        <v>376</v>
      </c>
      <c r="B112" s="90" t="s">
        <v>498</v>
      </c>
      <c r="C112" s="69">
        <v>87819165</v>
      </c>
      <c r="D112" s="70">
        <v>87818959</v>
      </c>
      <c r="E112" s="73" t="s">
        <v>499</v>
      </c>
      <c r="F112" s="81" t="b">
        <v>1</v>
      </c>
    </row>
    <row r="113" spans="1:6" ht="14.25" x14ac:dyDescent="0.3">
      <c r="A113" s="90" t="s">
        <v>376</v>
      </c>
      <c r="B113" s="90" t="s">
        <v>500</v>
      </c>
      <c r="C113" s="69">
        <v>87819201</v>
      </c>
      <c r="D113" s="70">
        <v>87818959</v>
      </c>
      <c r="E113" s="73" t="s">
        <v>499</v>
      </c>
      <c r="F113" s="81" t="b">
        <v>1</v>
      </c>
    </row>
    <row r="114" spans="1:6" ht="14.25" x14ac:dyDescent="0.3">
      <c r="A114" s="90" t="s">
        <v>376</v>
      </c>
      <c r="B114" s="90" t="s">
        <v>501</v>
      </c>
      <c r="C114" s="69">
        <v>87778588</v>
      </c>
      <c r="D114" s="70">
        <v>87818959</v>
      </c>
      <c r="E114" s="73" t="s">
        <v>499</v>
      </c>
      <c r="F114" s="81" t="b">
        <v>1</v>
      </c>
    </row>
    <row r="115" spans="1:6" ht="14.25" x14ac:dyDescent="0.3">
      <c r="A115" s="90" t="s">
        <v>376</v>
      </c>
      <c r="B115" s="90" t="s">
        <v>502</v>
      </c>
      <c r="C115" s="69">
        <v>87819196</v>
      </c>
      <c r="D115" s="70">
        <v>87818959</v>
      </c>
      <c r="E115" s="73" t="s">
        <v>499</v>
      </c>
      <c r="F115" s="81" t="b">
        <v>1</v>
      </c>
    </row>
    <row r="116" spans="1:6" ht="14.25" x14ac:dyDescent="0.3">
      <c r="A116" s="90" t="s">
        <v>376</v>
      </c>
      <c r="B116" s="90" t="s">
        <v>503</v>
      </c>
      <c r="C116" s="69">
        <v>87819062</v>
      </c>
      <c r="D116" s="70">
        <v>87818959</v>
      </c>
      <c r="E116" s="73" t="s">
        <v>499</v>
      </c>
      <c r="F116" s="81" t="b">
        <v>1</v>
      </c>
    </row>
    <row r="117" spans="1:6" ht="14.25" x14ac:dyDescent="0.3">
      <c r="A117" s="90" t="s">
        <v>376</v>
      </c>
      <c r="B117" s="90" t="s">
        <v>504</v>
      </c>
      <c r="C117" s="69">
        <v>87819130</v>
      </c>
      <c r="D117" s="70">
        <v>87818959</v>
      </c>
      <c r="E117" s="73" t="s">
        <v>499</v>
      </c>
      <c r="F117" s="81" t="b">
        <v>1</v>
      </c>
    </row>
    <row r="118" spans="1:6" ht="14.25" x14ac:dyDescent="0.3">
      <c r="A118" s="90" t="s">
        <v>376</v>
      </c>
      <c r="B118" s="90" t="s">
        <v>505</v>
      </c>
      <c r="C118" s="69">
        <v>87819247</v>
      </c>
      <c r="D118" s="70">
        <v>87818959</v>
      </c>
      <c r="E118" s="73" t="s">
        <v>499</v>
      </c>
      <c r="F118" s="81" t="b">
        <v>1</v>
      </c>
    </row>
    <row r="119" spans="1:6" ht="14.25" x14ac:dyDescent="0.3">
      <c r="A119" s="90" t="s">
        <v>376</v>
      </c>
      <c r="B119" s="90" t="s">
        <v>506</v>
      </c>
      <c r="C119" s="69">
        <v>87819287</v>
      </c>
      <c r="D119" s="70">
        <v>87818959</v>
      </c>
      <c r="E119" s="73" t="s">
        <v>499</v>
      </c>
      <c r="F119" s="81" t="b">
        <v>1</v>
      </c>
    </row>
    <row r="120" spans="1:6" ht="14.25" x14ac:dyDescent="0.3">
      <c r="A120" s="90" t="s">
        <v>376</v>
      </c>
      <c r="B120" s="90" t="s">
        <v>507</v>
      </c>
      <c r="C120" s="69">
        <v>87819113</v>
      </c>
      <c r="D120" s="70">
        <v>87818959</v>
      </c>
      <c r="E120" s="73" t="s">
        <v>499</v>
      </c>
      <c r="F120" s="81" t="b">
        <v>1</v>
      </c>
    </row>
    <row r="121" spans="1:6" ht="14.25" x14ac:dyDescent="0.3">
      <c r="A121" s="90" t="s">
        <v>376</v>
      </c>
      <c r="B121" s="90" t="s">
        <v>508</v>
      </c>
      <c r="C121" s="69">
        <v>87778353</v>
      </c>
      <c r="D121" s="70">
        <v>87818959</v>
      </c>
      <c r="E121" s="73" t="s">
        <v>499</v>
      </c>
      <c r="F121" s="81" t="b">
        <v>1</v>
      </c>
    </row>
    <row r="122" spans="1:6" ht="14.25" x14ac:dyDescent="0.3">
      <c r="A122" s="90" t="s">
        <v>376</v>
      </c>
      <c r="B122" s="90" t="s">
        <v>509</v>
      </c>
      <c r="C122" s="69">
        <v>87778563</v>
      </c>
      <c r="D122" s="70">
        <v>87818959</v>
      </c>
      <c r="E122" s="73" t="s">
        <v>499</v>
      </c>
      <c r="F122" s="81" t="b">
        <v>1</v>
      </c>
    </row>
    <row r="123" spans="1:6" ht="14.25" x14ac:dyDescent="0.3">
      <c r="A123" s="90" t="s">
        <v>376</v>
      </c>
      <c r="B123" s="90" t="s">
        <v>510</v>
      </c>
      <c r="C123" s="69">
        <v>87819060</v>
      </c>
      <c r="D123" s="70">
        <v>87818959</v>
      </c>
      <c r="E123" s="73" t="s">
        <v>499</v>
      </c>
      <c r="F123" s="81" t="b">
        <v>1</v>
      </c>
    </row>
    <row r="124" spans="1:6" ht="14.25" x14ac:dyDescent="0.3">
      <c r="A124" s="90" t="s">
        <v>376</v>
      </c>
      <c r="B124" s="90" t="s">
        <v>511</v>
      </c>
      <c r="C124" s="69">
        <v>87819214</v>
      </c>
      <c r="D124" s="70">
        <v>87818959</v>
      </c>
      <c r="E124" s="73" t="s">
        <v>499</v>
      </c>
      <c r="F124" s="81" t="b">
        <v>1</v>
      </c>
    </row>
    <row r="125" spans="1:6" ht="14.25" x14ac:dyDescent="0.3">
      <c r="A125" s="90" t="s">
        <v>376</v>
      </c>
      <c r="B125" s="90" t="s">
        <v>512</v>
      </c>
      <c r="C125" s="69">
        <v>87819458</v>
      </c>
      <c r="D125" s="70">
        <v>87818959</v>
      </c>
      <c r="E125" s="73" t="s">
        <v>499</v>
      </c>
      <c r="F125" s="81" t="b">
        <v>1</v>
      </c>
    </row>
    <row r="126" spans="1:6" ht="14.25" x14ac:dyDescent="0.3">
      <c r="A126" s="90" t="s">
        <v>376</v>
      </c>
      <c r="B126" s="93" t="s">
        <v>513</v>
      </c>
      <c r="C126" s="70">
        <v>83013890</v>
      </c>
      <c r="D126" s="70">
        <v>82929684</v>
      </c>
      <c r="E126" s="77" t="s">
        <v>275</v>
      </c>
      <c r="F126" s="81" t="b">
        <v>1</v>
      </c>
    </row>
    <row r="127" spans="1:6" ht="14.25" x14ac:dyDescent="0.3">
      <c r="A127" s="90" t="s">
        <v>376</v>
      </c>
      <c r="B127" s="93" t="s">
        <v>378</v>
      </c>
      <c r="C127" s="70">
        <v>87818883</v>
      </c>
      <c r="D127" s="70">
        <v>83013890</v>
      </c>
      <c r="E127" s="70" t="s">
        <v>513</v>
      </c>
      <c r="F127" s="81" t="b">
        <v>1</v>
      </c>
    </row>
    <row r="128" spans="1:6" ht="14.25" x14ac:dyDescent="0.3">
      <c r="A128" s="90" t="s">
        <v>376</v>
      </c>
      <c r="B128" s="94" t="s">
        <v>393</v>
      </c>
      <c r="C128" s="72">
        <v>87818877</v>
      </c>
      <c r="D128" s="70">
        <v>83013890</v>
      </c>
      <c r="E128" s="70" t="s">
        <v>513</v>
      </c>
      <c r="F128" s="81" t="b">
        <v>1</v>
      </c>
    </row>
    <row r="129" spans="1:6" ht="14.25" x14ac:dyDescent="0.3">
      <c r="A129" s="90" t="s">
        <v>376</v>
      </c>
      <c r="B129" s="94" t="s">
        <v>400</v>
      </c>
      <c r="C129" s="72">
        <v>87818878</v>
      </c>
      <c r="D129" s="70">
        <v>83013890</v>
      </c>
      <c r="E129" s="70" t="s">
        <v>513</v>
      </c>
      <c r="F129" s="81" t="b">
        <v>1</v>
      </c>
    </row>
    <row r="130" spans="1:6" ht="14.25" x14ac:dyDescent="0.3">
      <c r="A130" s="90" t="s">
        <v>376</v>
      </c>
      <c r="B130" s="94" t="s">
        <v>407</v>
      </c>
      <c r="C130" s="72">
        <v>87819009</v>
      </c>
      <c r="D130" s="70">
        <v>83013890</v>
      </c>
      <c r="E130" s="70" t="s">
        <v>513</v>
      </c>
      <c r="F130" s="81" t="b">
        <v>1</v>
      </c>
    </row>
    <row r="131" spans="1:6" ht="14.25" x14ac:dyDescent="0.3">
      <c r="A131" s="90" t="s">
        <v>376</v>
      </c>
      <c r="B131" s="93" t="s">
        <v>422</v>
      </c>
      <c r="C131" s="70">
        <v>87819003</v>
      </c>
      <c r="D131" s="70">
        <v>83013890</v>
      </c>
      <c r="E131" s="70" t="s">
        <v>513</v>
      </c>
      <c r="F131" s="81" t="b">
        <v>1</v>
      </c>
    </row>
    <row r="132" spans="1:6" ht="14.25" x14ac:dyDescent="0.3">
      <c r="A132" s="90" t="s">
        <v>376</v>
      </c>
      <c r="B132" s="93" t="s">
        <v>437</v>
      </c>
      <c r="C132" s="70">
        <v>87819002</v>
      </c>
      <c r="D132" s="70">
        <v>83013890</v>
      </c>
      <c r="E132" s="70" t="s">
        <v>513</v>
      </c>
      <c r="F132" s="81" t="b">
        <v>1</v>
      </c>
    </row>
    <row r="133" spans="1:6" ht="14.25" x14ac:dyDescent="0.3">
      <c r="A133" s="90" t="s">
        <v>376</v>
      </c>
      <c r="B133" s="93" t="s">
        <v>446</v>
      </c>
      <c r="C133" s="70">
        <v>87818863</v>
      </c>
      <c r="D133" s="70">
        <v>83013890</v>
      </c>
      <c r="E133" s="70" t="s">
        <v>513</v>
      </c>
      <c r="F133" s="81" t="b">
        <v>1</v>
      </c>
    </row>
    <row r="134" spans="1:6" ht="14.25" x14ac:dyDescent="0.3">
      <c r="A134" s="90" t="s">
        <v>376</v>
      </c>
      <c r="B134" s="93" t="s">
        <v>453</v>
      </c>
      <c r="C134" s="70">
        <v>87819008</v>
      </c>
      <c r="D134" s="70">
        <v>83013890</v>
      </c>
      <c r="E134" s="70" t="s">
        <v>513</v>
      </c>
      <c r="F134" s="81" t="b">
        <v>1</v>
      </c>
    </row>
    <row r="135" spans="1:6" ht="14.25" x14ac:dyDescent="0.3">
      <c r="A135" s="90" t="s">
        <v>376</v>
      </c>
      <c r="B135" s="93" t="s">
        <v>468</v>
      </c>
      <c r="C135" s="70">
        <v>87818879</v>
      </c>
      <c r="D135" s="70">
        <v>83013890</v>
      </c>
      <c r="E135" s="70" t="s">
        <v>513</v>
      </c>
      <c r="F135" s="81" t="b">
        <v>1</v>
      </c>
    </row>
    <row r="136" spans="1:6" ht="14.25" x14ac:dyDescent="0.3">
      <c r="A136" s="90" t="s">
        <v>376</v>
      </c>
      <c r="B136" s="93" t="s">
        <v>483</v>
      </c>
      <c r="C136" s="70">
        <v>87819007</v>
      </c>
      <c r="D136" s="70">
        <v>83013890</v>
      </c>
      <c r="E136" s="70" t="s">
        <v>513</v>
      </c>
      <c r="F136" s="81" t="b">
        <v>1</v>
      </c>
    </row>
    <row r="137" spans="1:6" ht="14.25" x14ac:dyDescent="0.3">
      <c r="A137" s="90" t="s">
        <v>376</v>
      </c>
      <c r="B137" s="93" t="s">
        <v>492</v>
      </c>
      <c r="C137" s="70">
        <v>87819005</v>
      </c>
      <c r="D137" s="70">
        <v>83013890</v>
      </c>
      <c r="E137" s="70" t="s">
        <v>513</v>
      </c>
      <c r="F137" s="81" t="b">
        <v>1</v>
      </c>
    </row>
    <row r="138" spans="1:6" ht="14.25" x14ac:dyDescent="0.3">
      <c r="A138" s="90" t="s">
        <v>376</v>
      </c>
      <c r="B138" s="93" t="s">
        <v>499</v>
      </c>
      <c r="C138" s="70">
        <v>87818959</v>
      </c>
      <c r="D138" s="70">
        <v>83013890</v>
      </c>
      <c r="E138" s="70" t="s">
        <v>513</v>
      </c>
      <c r="F138" s="81" t="b">
        <v>1</v>
      </c>
    </row>
    <row r="139" spans="1:6" ht="14.25" x14ac:dyDescent="0.3">
      <c r="A139" s="90" t="s">
        <v>376</v>
      </c>
      <c r="B139" s="93" t="s">
        <v>514</v>
      </c>
      <c r="C139" s="70">
        <v>87819001</v>
      </c>
      <c r="D139" s="70">
        <v>83013890</v>
      </c>
      <c r="E139" s="70" t="s">
        <v>513</v>
      </c>
      <c r="F139" s="81" t="b">
        <v>1</v>
      </c>
    </row>
    <row r="140" spans="1:6" ht="14.25" x14ac:dyDescent="0.3">
      <c r="A140" s="90" t="s">
        <v>376</v>
      </c>
      <c r="B140" s="95" t="s">
        <v>515</v>
      </c>
      <c r="C140" s="78">
        <v>87818957</v>
      </c>
      <c r="D140" s="70">
        <v>83013890</v>
      </c>
      <c r="E140" s="70" t="s">
        <v>513</v>
      </c>
      <c r="F140" s="81" t="b">
        <v>1</v>
      </c>
    </row>
    <row r="141" spans="1:6" ht="14.25" x14ac:dyDescent="0.3">
      <c r="A141" s="90" t="s">
        <v>376</v>
      </c>
      <c r="B141" s="96" t="s">
        <v>516</v>
      </c>
      <c r="C141" s="79">
        <v>87818870</v>
      </c>
      <c r="D141" s="70">
        <v>83013890</v>
      </c>
      <c r="E141" s="70" t="s">
        <v>513</v>
      </c>
      <c r="F141" s="81" t="b">
        <v>1</v>
      </c>
    </row>
    <row r="142" spans="1:6" ht="14.25" x14ac:dyDescent="0.3">
      <c r="A142" s="90" t="s">
        <v>376</v>
      </c>
      <c r="B142" s="96" t="s">
        <v>517</v>
      </c>
      <c r="C142" s="79">
        <v>87819004</v>
      </c>
      <c r="D142" s="70">
        <v>83013890</v>
      </c>
      <c r="E142" s="70" t="s">
        <v>513</v>
      </c>
      <c r="F142" s="81" t="b">
        <v>1</v>
      </c>
    </row>
    <row r="143" spans="1:6" ht="14.25" x14ac:dyDescent="0.3">
      <c r="A143" s="90" t="s">
        <v>518</v>
      </c>
      <c r="B143" s="97" t="s">
        <v>519</v>
      </c>
      <c r="C143" s="69">
        <v>90007625</v>
      </c>
      <c r="D143" s="90">
        <v>87818880</v>
      </c>
      <c r="E143" s="83" t="s">
        <v>520</v>
      </c>
      <c r="F143" s="81" t="b">
        <v>1</v>
      </c>
    </row>
    <row r="144" spans="1:6" ht="14.25" x14ac:dyDescent="0.3">
      <c r="A144" s="90" t="s">
        <v>518</v>
      </c>
      <c r="B144" s="97" t="s">
        <v>521</v>
      </c>
      <c r="C144" s="69">
        <v>90007633</v>
      </c>
      <c r="D144" s="90">
        <v>87818880</v>
      </c>
      <c r="E144" s="83" t="s">
        <v>520</v>
      </c>
      <c r="F144" s="81" t="b">
        <v>1</v>
      </c>
    </row>
    <row r="145" spans="1:6" ht="14.25" x14ac:dyDescent="0.3">
      <c r="A145" s="90" t="s">
        <v>518</v>
      </c>
      <c r="B145" s="97" t="s">
        <v>522</v>
      </c>
      <c r="C145" s="69">
        <v>90008131</v>
      </c>
      <c r="D145" s="90">
        <v>87818880</v>
      </c>
      <c r="E145" s="83" t="s">
        <v>520</v>
      </c>
      <c r="F145" s="81" t="b">
        <v>1</v>
      </c>
    </row>
    <row r="146" spans="1:6" ht="14.25" x14ac:dyDescent="0.3">
      <c r="A146" s="90" t="s">
        <v>518</v>
      </c>
      <c r="B146" s="97" t="s">
        <v>523</v>
      </c>
      <c r="C146" s="69">
        <v>90007593</v>
      </c>
      <c r="D146" s="90">
        <v>87818880</v>
      </c>
      <c r="E146" s="83" t="s">
        <v>520</v>
      </c>
      <c r="F146" s="81" t="b">
        <v>1</v>
      </c>
    </row>
    <row r="147" spans="1:6" ht="14.25" x14ac:dyDescent="0.3">
      <c r="A147" s="90" t="s">
        <v>518</v>
      </c>
      <c r="B147" s="97" t="s">
        <v>524</v>
      </c>
      <c r="C147" s="69">
        <v>90008126</v>
      </c>
      <c r="D147" s="90">
        <v>87818880</v>
      </c>
      <c r="E147" s="83" t="s">
        <v>520</v>
      </c>
      <c r="F147" s="81" t="b">
        <v>1</v>
      </c>
    </row>
    <row r="148" spans="1:6" ht="14.25" x14ac:dyDescent="0.3">
      <c r="A148" s="90" t="s">
        <v>518</v>
      </c>
      <c r="B148" s="97" t="s">
        <v>525</v>
      </c>
      <c r="C148" s="69">
        <v>90008097</v>
      </c>
      <c r="D148" s="90">
        <v>87818880</v>
      </c>
      <c r="E148" s="83" t="s">
        <v>520</v>
      </c>
      <c r="F148" s="81" t="b">
        <v>1</v>
      </c>
    </row>
    <row r="149" spans="1:6" ht="14.25" x14ac:dyDescent="0.3">
      <c r="A149" s="90" t="s">
        <v>518</v>
      </c>
      <c r="B149" s="97" t="s">
        <v>526</v>
      </c>
      <c r="C149" s="69">
        <v>90007605</v>
      </c>
      <c r="D149" s="90">
        <v>87818880</v>
      </c>
      <c r="E149" s="83" t="s">
        <v>520</v>
      </c>
      <c r="F149" s="81" t="b">
        <v>1</v>
      </c>
    </row>
    <row r="150" spans="1:6" ht="14.25" x14ac:dyDescent="0.3">
      <c r="A150" s="90" t="s">
        <v>518</v>
      </c>
      <c r="B150" s="97" t="s">
        <v>527</v>
      </c>
      <c r="C150" s="69">
        <v>90008115</v>
      </c>
      <c r="D150" s="90">
        <v>87818880</v>
      </c>
      <c r="E150" s="83" t="s">
        <v>520</v>
      </c>
      <c r="F150" s="81" t="b">
        <v>1</v>
      </c>
    </row>
    <row r="151" spans="1:6" ht="14.25" x14ac:dyDescent="0.3">
      <c r="A151" s="90" t="s">
        <v>518</v>
      </c>
      <c r="B151" s="97" t="s">
        <v>528</v>
      </c>
      <c r="C151" s="69">
        <v>90008139</v>
      </c>
      <c r="D151" s="90">
        <v>87818880</v>
      </c>
      <c r="E151" s="83" t="s">
        <v>520</v>
      </c>
      <c r="F151" s="81" t="b">
        <v>1</v>
      </c>
    </row>
    <row r="152" spans="1:6" ht="14.25" x14ac:dyDescent="0.3">
      <c r="A152" s="90" t="s">
        <v>518</v>
      </c>
      <c r="B152" s="97" t="s">
        <v>529</v>
      </c>
      <c r="C152" s="69">
        <v>90007629</v>
      </c>
      <c r="D152" s="90">
        <v>87818880</v>
      </c>
      <c r="E152" s="83" t="s">
        <v>520</v>
      </c>
      <c r="F152" s="81" t="b">
        <v>1</v>
      </c>
    </row>
    <row r="153" spans="1:6" ht="14.25" x14ac:dyDescent="0.3">
      <c r="A153" s="90" t="s">
        <v>518</v>
      </c>
      <c r="B153" s="97" t="s">
        <v>530</v>
      </c>
      <c r="C153" s="69">
        <v>90008121</v>
      </c>
      <c r="D153" s="90">
        <v>87818880</v>
      </c>
      <c r="E153" s="83" t="s">
        <v>520</v>
      </c>
      <c r="F153" s="81" t="b">
        <v>1</v>
      </c>
    </row>
    <row r="154" spans="1:6" ht="14.25" x14ac:dyDescent="0.3">
      <c r="A154" s="90" t="s">
        <v>518</v>
      </c>
      <c r="B154" s="97" t="s">
        <v>531</v>
      </c>
      <c r="C154" s="69">
        <v>90008135</v>
      </c>
      <c r="D154" s="90">
        <v>87818880</v>
      </c>
      <c r="E154" s="83" t="s">
        <v>520</v>
      </c>
      <c r="F154" s="81" t="b">
        <v>1</v>
      </c>
    </row>
    <row r="155" spans="1:6" ht="14.25" x14ac:dyDescent="0.3">
      <c r="A155" s="90" t="s">
        <v>518</v>
      </c>
      <c r="B155" s="97" t="s">
        <v>532</v>
      </c>
      <c r="C155" s="69">
        <v>90008078</v>
      </c>
      <c r="D155" s="90">
        <v>87818880</v>
      </c>
      <c r="E155" s="83" t="s">
        <v>520</v>
      </c>
      <c r="F155" s="81" t="b">
        <v>1</v>
      </c>
    </row>
    <row r="156" spans="1:6" ht="14.25" x14ac:dyDescent="0.3">
      <c r="A156" s="90" t="s">
        <v>518</v>
      </c>
      <c r="B156" s="97" t="s">
        <v>533</v>
      </c>
      <c r="C156" s="69">
        <v>90008107</v>
      </c>
      <c r="D156" s="90">
        <v>87818880</v>
      </c>
      <c r="E156" s="83" t="s">
        <v>520</v>
      </c>
      <c r="F156" s="81" t="b">
        <v>1</v>
      </c>
    </row>
    <row r="157" spans="1:6" ht="14.25" x14ac:dyDescent="0.3">
      <c r="A157" s="90" t="s">
        <v>518</v>
      </c>
      <c r="B157" s="97" t="s">
        <v>534</v>
      </c>
      <c r="C157" s="69">
        <v>90008029</v>
      </c>
      <c r="D157" s="90">
        <v>87819000</v>
      </c>
      <c r="E157" s="84" t="s">
        <v>535</v>
      </c>
      <c r="F157" s="81" t="b">
        <v>1</v>
      </c>
    </row>
    <row r="158" spans="1:6" ht="14.25" x14ac:dyDescent="0.3">
      <c r="A158" s="90" t="s">
        <v>518</v>
      </c>
      <c r="B158" s="97" t="s">
        <v>536</v>
      </c>
      <c r="C158" s="69">
        <v>90007981</v>
      </c>
      <c r="D158" s="90">
        <v>87819000</v>
      </c>
      <c r="E158" s="84" t="s">
        <v>535</v>
      </c>
      <c r="F158" s="81" t="b">
        <v>1</v>
      </c>
    </row>
    <row r="159" spans="1:6" ht="14.25" x14ac:dyDescent="0.3">
      <c r="A159" s="90" t="s">
        <v>518</v>
      </c>
      <c r="B159" s="97" t="s">
        <v>537</v>
      </c>
      <c r="C159" s="69">
        <v>90008000</v>
      </c>
      <c r="D159" s="90">
        <v>87819000</v>
      </c>
      <c r="E159" s="84" t="s">
        <v>535</v>
      </c>
      <c r="F159" s="81" t="b">
        <v>1</v>
      </c>
    </row>
    <row r="160" spans="1:6" ht="14.25" x14ac:dyDescent="0.3">
      <c r="A160" s="90" t="s">
        <v>518</v>
      </c>
      <c r="B160" s="97" t="s">
        <v>538</v>
      </c>
      <c r="C160" s="69">
        <v>90008003</v>
      </c>
      <c r="D160" s="90">
        <v>87819000</v>
      </c>
      <c r="E160" s="84" t="s">
        <v>535</v>
      </c>
      <c r="F160" s="81" t="b">
        <v>1</v>
      </c>
    </row>
    <row r="161" spans="1:6" ht="14.25" x14ac:dyDescent="0.3">
      <c r="A161" s="90" t="s">
        <v>518</v>
      </c>
      <c r="B161" s="97" t="s">
        <v>539</v>
      </c>
      <c r="C161" s="69">
        <v>90007995</v>
      </c>
      <c r="D161" s="90">
        <v>87819000</v>
      </c>
      <c r="E161" s="84" t="s">
        <v>535</v>
      </c>
      <c r="F161" s="81" t="b">
        <v>1</v>
      </c>
    </row>
    <row r="162" spans="1:6" ht="14.25" x14ac:dyDescent="0.3">
      <c r="A162" s="90" t="s">
        <v>518</v>
      </c>
      <c r="B162" s="97" t="s">
        <v>540</v>
      </c>
      <c r="C162" s="69">
        <v>90008011</v>
      </c>
      <c r="D162" s="90">
        <v>87819000</v>
      </c>
      <c r="E162" s="84" t="s">
        <v>535</v>
      </c>
      <c r="F162" s="81" t="b">
        <v>1</v>
      </c>
    </row>
    <row r="163" spans="1:6" ht="14.25" x14ac:dyDescent="0.3">
      <c r="A163" s="90" t="s">
        <v>518</v>
      </c>
      <c r="B163" s="97" t="s">
        <v>541</v>
      </c>
      <c r="C163" s="69">
        <v>90008123</v>
      </c>
      <c r="D163" s="90">
        <v>87818875</v>
      </c>
      <c r="E163" s="69" t="s">
        <v>542</v>
      </c>
      <c r="F163" s="81" t="b">
        <v>1</v>
      </c>
    </row>
    <row r="164" spans="1:6" ht="14.25" x14ac:dyDescent="0.3">
      <c r="A164" s="90" t="s">
        <v>518</v>
      </c>
      <c r="B164" s="97" t="s">
        <v>543</v>
      </c>
      <c r="C164" s="69">
        <v>90008043</v>
      </c>
      <c r="D164" s="90">
        <v>87818875</v>
      </c>
      <c r="E164" s="69" t="s">
        <v>542</v>
      </c>
      <c r="F164" s="81" t="b">
        <v>1</v>
      </c>
    </row>
    <row r="165" spans="1:6" ht="14.25" x14ac:dyDescent="0.3">
      <c r="A165" s="90" t="s">
        <v>518</v>
      </c>
      <c r="B165" s="97" t="s">
        <v>544</v>
      </c>
      <c r="C165" s="69">
        <v>90007994</v>
      </c>
      <c r="D165" s="90">
        <v>87818875</v>
      </c>
      <c r="E165" s="69" t="s">
        <v>542</v>
      </c>
      <c r="F165" s="81" t="b">
        <v>1</v>
      </c>
    </row>
    <row r="166" spans="1:6" ht="14.25" x14ac:dyDescent="0.3">
      <c r="A166" s="90" t="s">
        <v>518</v>
      </c>
      <c r="B166" s="97" t="s">
        <v>545</v>
      </c>
      <c r="C166" s="69">
        <v>90008102</v>
      </c>
      <c r="D166" s="90">
        <v>87818875</v>
      </c>
      <c r="E166" s="69" t="s">
        <v>542</v>
      </c>
      <c r="F166" s="81" t="b">
        <v>1</v>
      </c>
    </row>
    <row r="167" spans="1:6" ht="14.25" x14ac:dyDescent="0.3">
      <c r="A167" s="90" t="s">
        <v>518</v>
      </c>
      <c r="B167" s="97" t="s">
        <v>546</v>
      </c>
      <c r="C167" s="69">
        <v>90007980</v>
      </c>
      <c r="D167" s="90">
        <v>87818875</v>
      </c>
      <c r="E167" s="69" t="s">
        <v>542</v>
      </c>
      <c r="F167" s="81" t="b">
        <v>1</v>
      </c>
    </row>
    <row r="168" spans="1:6" ht="14.25" x14ac:dyDescent="0.3">
      <c r="A168" s="90" t="s">
        <v>518</v>
      </c>
      <c r="B168" s="97" t="s">
        <v>547</v>
      </c>
      <c r="C168" s="69">
        <v>90008001</v>
      </c>
      <c r="D168" s="90">
        <v>87818875</v>
      </c>
      <c r="E168" s="69" t="s">
        <v>542</v>
      </c>
      <c r="F168" s="81" t="b">
        <v>1</v>
      </c>
    </row>
    <row r="169" spans="1:6" ht="14.25" x14ac:dyDescent="0.3">
      <c r="A169" s="90" t="s">
        <v>518</v>
      </c>
      <c r="B169" s="97" t="s">
        <v>548</v>
      </c>
      <c r="C169" s="69">
        <v>90007998</v>
      </c>
      <c r="D169" s="90">
        <v>87818875</v>
      </c>
      <c r="E169" s="69" t="s">
        <v>542</v>
      </c>
      <c r="F169" s="81" t="b">
        <v>1</v>
      </c>
    </row>
    <row r="170" spans="1:6" ht="14.25" x14ac:dyDescent="0.3">
      <c r="A170" s="90" t="s">
        <v>518</v>
      </c>
      <c r="B170" s="97" t="s">
        <v>549</v>
      </c>
      <c r="C170" s="69">
        <v>90008094</v>
      </c>
      <c r="D170" s="90">
        <v>87818875</v>
      </c>
      <c r="E170" s="69" t="s">
        <v>542</v>
      </c>
      <c r="F170" s="81" t="b">
        <v>1</v>
      </c>
    </row>
    <row r="171" spans="1:6" ht="14.25" x14ac:dyDescent="0.3">
      <c r="A171" s="90" t="s">
        <v>518</v>
      </c>
      <c r="B171" s="97" t="s">
        <v>550</v>
      </c>
      <c r="C171" s="69">
        <v>90008276</v>
      </c>
      <c r="D171" s="90">
        <v>87818865</v>
      </c>
      <c r="E171" s="85" t="s">
        <v>551</v>
      </c>
      <c r="F171" s="81" t="b">
        <v>1</v>
      </c>
    </row>
    <row r="172" spans="1:6" ht="14.25" x14ac:dyDescent="0.3">
      <c r="A172" s="90" t="s">
        <v>518</v>
      </c>
      <c r="B172" s="97" t="s">
        <v>552</v>
      </c>
      <c r="C172" s="69">
        <v>90008144</v>
      </c>
      <c r="D172" s="90">
        <v>87818865</v>
      </c>
      <c r="E172" s="85" t="s">
        <v>551</v>
      </c>
      <c r="F172" s="81" t="b">
        <v>1</v>
      </c>
    </row>
    <row r="173" spans="1:6" ht="14.25" x14ac:dyDescent="0.3">
      <c r="A173" s="90" t="s">
        <v>518</v>
      </c>
      <c r="B173" s="97" t="s">
        <v>553</v>
      </c>
      <c r="C173" s="69">
        <v>90008153</v>
      </c>
      <c r="D173" s="90">
        <v>87818865</v>
      </c>
      <c r="E173" s="85" t="s">
        <v>551</v>
      </c>
      <c r="F173" s="81" t="b">
        <v>1</v>
      </c>
    </row>
    <row r="174" spans="1:6" ht="14.25" x14ac:dyDescent="0.3">
      <c r="A174" s="90" t="s">
        <v>518</v>
      </c>
      <c r="B174" s="97" t="s">
        <v>554</v>
      </c>
      <c r="C174" s="69">
        <v>90008258</v>
      </c>
      <c r="D174" s="90">
        <v>87818865</v>
      </c>
      <c r="E174" s="85" t="s">
        <v>551</v>
      </c>
      <c r="F174" s="81" t="b">
        <v>1</v>
      </c>
    </row>
    <row r="175" spans="1:6" ht="14.25" x14ac:dyDescent="0.3">
      <c r="A175" s="90" t="s">
        <v>518</v>
      </c>
      <c r="B175" s="97" t="s">
        <v>555</v>
      </c>
      <c r="C175" s="69">
        <v>90008032</v>
      </c>
      <c r="D175" s="90">
        <v>87818865</v>
      </c>
      <c r="E175" s="85" t="s">
        <v>551</v>
      </c>
      <c r="F175" s="81" t="b">
        <v>1</v>
      </c>
    </row>
    <row r="176" spans="1:6" ht="14.25" x14ac:dyDescent="0.3">
      <c r="A176" s="90" t="s">
        <v>518</v>
      </c>
      <c r="B176" s="97" t="s">
        <v>556</v>
      </c>
      <c r="C176" s="69">
        <v>90008188</v>
      </c>
      <c r="D176" s="90">
        <v>87818865</v>
      </c>
      <c r="E176" s="85" t="s">
        <v>551</v>
      </c>
      <c r="F176" s="81" t="b">
        <v>1</v>
      </c>
    </row>
    <row r="177" spans="1:6" ht="14.25" x14ac:dyDescent="0.3">
      <c r="A177" s="90" t="s">
        <v>518</v>
      </c>
      <c r="B177" s="97" t="s">
        <v>557</v>
      </c>
      <c r="C177" s="69">
        <v>90008168</v>
      </c>
      <c r="D177" s="90">
        <v>87818865</v>
      </c>
      <c r="E177" s="85" t="s">
        <v>551</v>
      </c>
      <c r="F177" s="81" t="b">
        <v>1</v>
      </c>
    </row>
    <row r="178" spans="1:6" ht="14.25" x14ac:dyDescent="0.3">
      <c r="A178" s="90" t="s">
        <v>518</v>
      </c>
      <c r="B178" s="97" t="s">
        <v>558</v>
      </c>
      <c r="C178" s="69">
        <v>90008196</v>
      </c>
      <c r="D178" s="90">
        <v>87818865</v>
      </c>
      <c r="E178" s="85" t="s">
        <v>551</v>
      </c>
      <c r="F178" s="81" t="b">
        <v>1</v>
      </c>
    </row>
    <row r="179" spans="1:6" ht="14.25" x14ac:dyDescent="0.3">
      <c r="A179" s="90" t="s">
        <v>518</v>
      </c>
      <c r="B179" s="97" t="s">
        <v>559</v>
      </c>
      <c r="C179" s="69">
        <v>90008204</v>
      </c>
      <c r="D179" s="90">
        <v>87818865</v>
      </c>
      <c r="E179" s="85" t="s">
        <v>551</v>
      </c>
      <c r="F179" s="81" t="b">
        <v>1</v>
      </c>
    </row>
    <row r="180" spans="1:6" ht="14.25" x14ac:dyDescent="0.3">
      <c r="A180" s="90" t="s">
        <v>518</v>
      </c>
      <c r="B180" s="97" t="s">
        <v>560</v>
      </c>
      <c r="C180" s="69">
        <v>90008283</v>
      </c>
      <c r="D180" s="90">
        <v>87818865</v>
      </c>
      <c r="E180" s="85" t="s">
        <v>551</v>
      </c>
      <c r="F180" s="81" t="b">
        <v>1</v>
      </c>
    </row>
    <row r="181" spans="1:6" ht="14.25" x14ac:dyDescent="0.3">
      <c r="A181" s="90" t="s">
        <v>518</v>
      </c>
      <c r="B181" s="97" t="s">
        <v>561</v>
      </c>
      <c r="C181" s="69">
        <v>90008159</v>
      </c>
      <c r="D181" s="90">
        <v>87818865</v>
      </c>
      <c r="E181" s="85" t="s">
        <v>551</v>
      </c>
      <c r="F181" s="81" t="b">
        <v>1</v>
      </c>
    </row>
    <row r="182" spans="1:6" ht="14.25" x14ac:dyDescent="0.3">
      <c r="A182" s="90" t="s">
        <v>518</v>
      </c>
      <c r="B182" s="97" t="s">
        <v>562</v>
      </c>
      <c r="C182" s="69">
        <v>90008156</v>
      </c>
      <c r="D182" s="90">
        <v>87818865</v>
      </c>
      <c r="E182" s="85" t="s">
        <v>551</v>
      </c>
      <c r="F182" s="81" t="b">
        <v>1</v>
      </c>
    </row>
    <row r="183" spans="1:6" ht="14.25" x14ac:dyDescent="0.3">
      <c r="A183" s="90" t="s">
        <v>518</v>
      </c>
      <c r="B183" s="97" t="s">
        <v>563</v>
      </c>
      <c r="C183" s="69">
        <v>90008155</v>
      </c>
      <c r="D183" s="90">
        <v>87818865</v>
      </c>
      <c r="E183" s="85" t="s">
        <v>551</v>
      </c>
      <c r="F183" s="81" t="b">
        <v>1</v>
      </c>
    </row>
    <row r="184" spans="1:6" ht="14.25" x14ac:dyDescent="0.3">
      <c r="A184" s="90" t="s">
        <v>518</v>
      </c>
      <c r="B184" s="97" t="s">
        <v>564</v>
      </c>
      <c r="C184" s="69">
        <v>90007997</v>
      </c>
      <c r="D184" s="90">
        <v>87818865</v>
      </c>
      <c r="E184" s="85" t="s">
        <v>551</v>
      </c>
      <c r="F184" s="81" t="b">
        <v>1</v>
      </c>
    </row>
    <row r="185" spans="1:6" ht="14.25" x14ac:dyDescent="0.3">
      <c r="A185" s="90" t="s">
        <v>518</v>
      </c>
      <c r="B185" s="97" t="s">
        <v>565</v>
      </c>
      <c r="C185" s="69">
        <v>90008120</v>
      </c>
      <c r="D185" s="90">
        <v>87818869</v>
      </c>
      <c r="E185" s="86" t="s">
        <v>566</v>
      </c>
      <c r="F185" s="81" t="b">
        <v>1</v>
      </c>
    </row>
    <row r="186" spans="1:6" ht="14.25" x14ac:dyDescent="0.3">
      <c r="A186" s="90" t="s">
        <v>518</v>
      </c>
      <c r="B186" s="97" t="s">
        <v>567</v>
      </c>
      <c r="C186" s="69">
        <v>90008091</v>
      </c>
      <c r="D186" s="90">
        <v>87818869</v>
      </c>
      <c r="E186" s="86" t="s">
        <v>566</v>
      </c>
      <c r="F186" s="81" t="b">
        <v>1</v>
      </c>
    </row>
    <row r="187" spans="1:6" ht="14.25" x14ac:dyDescent="0.3">
      <c r="A187" s="90" t="s">
        <v>518</v>
      </c>
      <c r="B187" s="97" t="s">
        <v>568</v>
      </c>
      <c r="C187" s="69">
        <v>90007986</v>
      </c>
      <c r="D187" s="90">
        <v>87818869</v>
      </c>
      <c r="E187" s="86" t="s">
        <v>566</v>
      </c>
      <c r="F187" s="81" t="b">
        <v>1</v>
      </c>
    </row>
    <row r="188" spans="1:6" ht="14.25" x14ac:dyDescent="0.3">
      <c r="A188" s="90" t="s">
        <v>518</v>
      </c>
      <c r="B188" s="97" t="s">
        <v>569</v>
      </c>
      <c r="C188" s="69">
        <v>90008082</v>
      </c>
      <c r="D188" s="90">
        <v>87818869</v>
      </c>
      <c r="E188" s="86" t="s">
        <v>566</v>
      </c>
      <c r="F188" s="81" t="b">
        <v>1</v>
      </c>
    </row>
    <row r="189" spans="1:6" ht="14.25" x14ac:dyDescent="0.3">
      <c r="A189" s="90" t="s">
        <v>518</v>
      </c>
      <c r="B189" s="97" t="s">
        <v>570</v>
      </c>
      <c r="C189" s="69">
        <v>90008073</v>
      </c>
      <c r="D189" s="90">
        <v>87818869</v>
      </c>
      <c r="E189" s="86" t="s">
        <v>566</v>
      </c>
      <c r="F189" s="81" t="b">
        <v>1</v>
      </c>
    </row>
    <row r="190" spans="1:6" ht="14.25" x14ac:dyDescent="0.3">
      <c r="A190" s="90" t="s">
        <v>518</v>
      </c>
      <c r="B190" s="97" t="s">
        <v>571</v>
      </c>
      <c r="C190" s="69">
        <v>90008054</v>
      </c>
      <c r="D190" s="90">
        <v>87818869</v>
      </c>
      <c r="E190" s="86" t="s">
        <v>566</v>
      </c>
      <c r="F190" s="81" t="b">
        <v>1</v>
      </c>
    </row>
    <row r="191" spans="1:6" ht="14.25" x14ac:dyDescent="0.3">
      <c r="A191" s="90" t="s">
        <v>518</v>
      </c>
      <c r="B191" s="97" t="s">
        <v>572</v>
      </c>
      <c r="C191" s="69">
        <v>90007601</v>
      </c>
      <c r="D191" s="90">
        <v>87818869</v>
      </c>
      <c r="E191" s="86" t="s">
        <v>566</v>
      </c>
      <c r="F191" s="81" t="b">
        <v>1</v>
      </c>
    </row>
    <row r="192" spans="1:6" ht="14.25" x14ac:dyDescent="0.3">
      <c r="A192" s="90" t="s">
        <v>518</v>
      </c>
      <c r="B192" s="97" t="s">
        <v>573</v>
      </c>
      <c r="C192" s="69">
        <v>90008087</v>
      </c>
      <c r="D192" s="90">
        <v>87818869</v>
      </c>
      <c r="E192" s="86" t="s">
        <v>566</v>
      </c>
      <c r="F192" s="81" t="b">
        <v>1</v>
      </c>
    </row>
    <row r="193" spans="1:6" ht="14.25" x14ac:dyDescent="0.3">
      <c r="A193" s="90" t="s">
        <v>518</v>
      </c>
      <c r="B193" s="97" t="s">
        <v>574</v>
      </c>
      <c r="C193" s="69">
        <v>90008118</v>
      </c>
      <c r="D193" s="90">
        <v>87818869</v>
      </c>
      <c r="E193" s="86" t="s">
        <v>566</v>
      </c>
      <c r="F193" s="81" t="b">
        <v>1</v>
      </c>
    </row>
    <row r="194" spans="1:6" ht="14.25" x14ac:dyDescent="0.3">
      <c r="A194" s="90" t="s">
        <v>518</v>
      </c>
      <c r="B194" s="97" t="s">
        <v>575</v>
      </c>
      <c r="C194" s="69">
        <v>90008026</v>
      </c>
      <c r="D194" s="90">
        <v>87818869</v>
      </c>
      <c r="E194" s="86" t="s">
        <v>566</v>
      </c>
      <c r="F194" s="81" t="b">
        <v>1</v>
      </c>
    </row>
    <row r="195" spans="1:6" ht="14.25" x14ac:dyDescent="0.3">
      <c r="A195" s="90" t="s">
        <v>518</v>
      </c>
      <c r="B195" s="97" t="s">
        <v>576</v>
      </c>
      <c r="C195" s="69">
        <v>90008122</v>
      </c>
      <c r="D195" s="90">
        <v>87818869</v>
      </c>
      <c r="E195" s="86" t="s">
        <v>566</v>
      </c>
      <c r="F195" s="81" t="b">
        <v>1</v>
      </c>
    </row>
    <row r="196" spans="1:6" ht="14.25" x14ac:dyDescent="0.3">
      <c r="A196" s="90" t="s">
        <v>518</v>
      </c>
      <c r="B196" s="97" t="s">
        <v>577</v>
      </c>
      <c r="C196" s="69">
        <v>90008034</v>
      </c>
      <c r="D196" s="90">
        <v>87818869</v>
      </c>
      <c r="E196" s="86" t="s">
        <v>566</v>
      </c>
      <c r="F196" s="81" t="b">
        <v>1</v>
      </c>
    </row>
    <row r="197" spans="1:6" ht="14.25" x14ac:dyDescent="0.3">
      <c r="A197" s="90" t="s">
        <v>518</v>
      </c>
      <c r="B197" s="97" t="s">
        <v>578</v>
      </c>
      <c r="C197" s="69">
        <v>90007609</v>
      </c>
      <c r="D197" s="90">
        <v>87818869</v>
      </c>
      <c r="E197" s="86" t="s">
        <v>566</v>
      </c>
      <c r="F197" s="81" t="b">
        <v>1</v>
      </c>
    </row>
    <row r="198" spans="1:6" ht="14.25" x14ac:dyDescent="0.3">
      <c r="A198" s="90" t="s">
        <v>518</v>
      </c>
      <c r="B198" s="97" t="s">
        <v>579</v>
      </c>
      <c r="C198" s="69">
        <v>90008039</v>
      </c>
      <c r="D198" s="90">
        <v>87818869</v>
      </c>
      <c r="E198" s="86" t="s">
        <v>566</v>
      </c>
      <c r="F198" s="81" t="b">
        <v>1</v>
      </c>
    </row>
    <row r="199" spans="1:6" ht="14.25" x14ac:dyDescent="0.3">
      <c r="A199" s="90" t="s">
        <v>518</v>
      </c>
      <c r="B199" s="97" t="s">
        <v>580</v>
      </c>
      <c r="C199" s="69">
        <v>90008009</v>
      </c>
      <c r="D199" s="90">
        <v>87818876</v>
      </c>
      <c r="E199" s="84" t="s">
        <v>535</v>
      </c>
      <c r="F199" s="81" t="b">
        <v>1</v>
      </c>
    </row>
    <row r="200" spans="1:6" ht="14.25" x14ac:dyDescent="0.3">
      <c r="A200" s="90" t="s">
        <v>518</v>
      </c>
      <c r="B200" s="97" t="s">
        <v>581</v>
      </c>
      <c r="C200" s="69">
        <v>90007991</v>
      </c>
      <c r="D200" s="90">
        <v>87818876</v>
      </c>
      <c r="E200" s="84" t="s">
        <v>535</v>
      </c>
      <c r="F200" s="81" t="b">
        <v>1</v>
      </c>
    </row>
    <row r="201" spans="1:6" ht="14.25" x14ac:dyDescent="0.3">
      <c r="A201" s="90" t="s">
        <v>518</v>
      </c>
      <c r="B201" s="97" t="s">
        <v>582</v>
      </c>
      <c r="C201" s="69">
        <v>90008152</v>
      </c>
      <c r="D201" s="90">
        <v>87818876</v>
      </c>
      <c r="E201" s="84" t="s">
        <v>535</v>
      </c>
      <c r="F201" s="81" t="b">
        <v>1</v>
      </c>
    </row>
    <row r="202" spans="1:6" ht="14.25" x14ac:dyDescent="0.3">
      <c r="A202" s="90" t="s">
        <v>518</v>
      </c>
      <c r="B202" s="97" t="s">
        <v>583</v>
      </c>
      <c r="C202" s="69">
        <v>90007990</v>
      </c>
      <c r="D202" s="90">
        <v>87818876</v>
      </c>
      <c r="E202" s="84" t="s">
        <v>535</v>
      </c>
      <c r="F202" s="81" t="b">
        <v>1</v>
      </c>
    </row>
    <row r="203" spans="1:6" ht="14.25" x14ac:dyDescent="0.3">
      <c r="A203" s="90" t="s">
        <v>518</v>
      </c>
      <c r="B203" s="97" t="s">
        <v>584</v>
      </c>
      <c r="C203" s="69">
        <v>90008014</v>
      </c>
      <c r="D203" s="90">
        <v>87818876</v>
      </c>
      <c r="E203" s="84" t="s">
        <v>535</v>
      </c>
      <c r="F203" s="81" t="b">
        <v>1</v>
      </c>
    </row>
    <row r="204" spans="1:6" ht="14.25" x14ac:dyDescent="0.3">
      <c r="A204" s="90" t="s">
        <v>518</v>
      </c>
      <c r="B204" s="97" t="s">
        <v>585</v>
      </c>
      <c r="C204" s="69">
        <v>90008031</v>
      </c>
      <c r="D204" s="90">
        <v>87818876</v>
      </c>
      <c r="E204" s="84" t="s">
        <v>535</v>
      </c>
      <c r="F204" s="81" t="b">
        <v>1</v>
      </c>
    </row>
    <row r="205" spans="1:6" ht="14.25" x14ac:dyDescent="0.3">
      <c r="A205" s="90" t="s">
        <v>518</v>
      </c>
      <c r="B205" s="97" t="s">
        <v>586</v>
      </c>
      <c r="C205" s="69">
        <v>90008027</v>
      </c>
      <c r="D205" s="90">
        <v>87818872</v>
      </c>
      <c r="E205" s="69" t="s">
        <v>587</v>
      </c>
      <c r="F205" s="81" t="b">
        <v>1</v>
      </c>
    </row>
    <row r="206" spans="1:6" ht="14.25" x14ac:dyDescent="0.3">
      <c r="A206" s="90" t="s">
        <v>518</v>
      </c>
      <c r="B206" s="97" t="s">
        <v>588</v>
      </c>
      <c r="C206" s="69">
        <v>90008018</v>
      </c>
      <c r="D206" s="90">
        <v>87818872</v>
      </c>
      <c r="E206" s="69" t="s">
        <v>587</v>
      </c>
      <c r="F206" s="81" t="b">
        <v>1</v>
      </c>
    </row>
    <row r="207" spans="1:6" ht="14.25" x14ac:dyDescent="0.3">
      <c r="A207" s="90" t="s">
        <v>518</v>
      </c>
      <c r="B207" s="97" t="s">
        <v>589</v>
      </c>
      <c r="C207" s="69">
        <v>90008021</v>
      </c>
      <c r="D207" s="90">
        <v>87818872</v>
      </c>
      <c r="E207" s="69" t="s">
        <v>587</v>
      </c>
      <c r="F207" s="81" t="b">
        <v>1</v>
      </c>
    </row>
    <row r="208" spans="1:6" ht="14.25" x14ac:dyDescent="0.3">
      <c r="A208" s="90" t="s">
        <v>518</v>
      </c>
      <c r="B208" s="97" t="s">
        <v>590</v>
      </c>
      <c r="C208" s="69">
        <v>90007985</v>
      </c>
      <c r="D208" s="90">
        <v>87818872</v>
      </c>
      <c r="E208" s="69" t="s">
        <v>587</v>
      </c>
      <c r="F208" s="81" t="b">
        <v>1</v>
      </c>
    </row>
    <row r="209" spans="1:6" ht="14.25" x14ac:dyDescent="0.3">
      <c r="A209" s="90" t="s">
        <v>518</v>
      </c>
      <c r="B209" s="97" t="s">
        <v>591</v>
      </c>
      <c r="C209" s="69">
        <v>90008028</v>
      </c>
      <c r="D209" s="90">
        <v>87818872</v>
      </c>
      <c r="E209" s="69" t="s">
        <v>587</v>
      </c>
      <c r="F209" s="81" t="b">
        <v>1</v>
      </c>
    </row>
    <row r="210" spans="1:6" ht="14.25" x14ac:dyDescent="0.3">
      <c r="A210" s="90" t="s">
        <v>518</v>
      </c>
      <c r="B210" s="97" t="s">
        <v>592</v>
      </c>
      <c r="C210" s="69">
        <v>90008035</v>
      </c>
      <c r="D210" s="90">
        <v>87818872</v>
      </c>
      <c r="E210" s="69" t="s">
        <v>587</v>
      </c>
      <c r="F210" s="81" t="b">
        <v>1</v>
      </c>
    </row>
    <row r="211" spans="1:6" ht="14.25" x14ac:dyDescent="0.3">
      <c r="A211" s="90" t="s">
        <v>518</v>
      </c>
      <c r="B211" s="97" t="s">
        <v>593</v>
      </c>
      <c r="C211" s="69">
        <v>90008025</v>
      </c>
      <c r="D211" s="90">
        <v>87818872</v>
      </c>
      <c r="E211" s="69" t="s">
        <v>587</v>
      </c>
      <c r="F211" s="81" t="b">
        <v>1</v>
      </c>
    </row>
    <row r="212" spans="1:6" ht="14.25" x14ac:dyDescent="0.3">
      <c r="A212" s="90" t="s">
        <v>518</v>
      </c>
      <c r="B212" s="97" t="s">
        <v>594</v>
      </c>
      <c r="C212" s="69">
        <v>90008002</v>
      </c>
      <c r="D212" s="90">
        <v>87818872</v>
      </c>
      <c r="E212" s="69" t="s">
        <v>587</v>
      </c>
      <c r="F212" s="81" t="b">
        <v>1</v>
      </c>
    </row>
    <row r="213" spans="1:6" ht="14.25" x14ac:dyDescent="0.3">
      <c r="A213" s="90" t="s">
        <v>518</v>
      </c>
      <c r="B213" s="97" t="s">
        <v>595</v>
      </c>
      <c r="C213" s="69">
        <v>90008007</v>
      </c>
      <c r="D213" s="90">
        <v>87818868</v>
      </c>
      <c r="E213" s="87" t="s">
        <v>596</v>
      </c>
      <c r="F213" s="81" t="b">
        <v>1</v>
      </c>
    </row>
    <row r="214" spans="1:6" ht="14.25" x14ac:dyDescent="0.3">
      <c r="A214" s="90" t="s">
        <v>518</v>
      </c>
      <c r="B214" s="97" t="s">
        <v>597</v>
      </c>
      <c r="C214" s="69">
        <v>90008172</v>
      </c>
      <c r="D214" s="90">
        <v>87818868</v>
      </c>
      <c r="E214" s="87" t="s">
        <v>596</v>
      </c>
      <c r="F214" s="81" t="b">
        <v>1</v>
      </c>
    </row>
    <row r="215" spans="1:6" ht="14.25" x14ac:dyDescent="0.3">
      <c r="A215" s="90" t="s">
        <v>518</v>
      </c>
      <c r="B215" s="97" t="s">
        <v>598</v>
      </c>
      <c r="C215" s="69">
        <v>90008181</v>
      </c>
      <c r="D215" s="90">
        <v>87818868</v>
      </c>
      <c r="E215" s="87" t="s">
        <v>596</v>
      </c>
      <c r="F215" s="81" t="b">
        <v>1</v>
      </c>
    </row>
    <row r="216" spans="1:6" ht="14.25" x14ac:dyDescent="0.3">
      <c r="A216" s="90" t="s">
        <v>518</v>
      </c>
      <c r="B216" s="97" t="s">
        <v>599</v>
      </c>
      <c r="C216" s="69">
        <v>90008164</v>
      </c>
      <c r="D216" s="90">
        <v>87818868</v>
      </c>
      <c r="E216" s="87" t="s">
        <v>596</v>
      </c>
      <c r="F216" s="81" t="b">
        <v>1</v>
      </c>
    </row>
    <row r="217" spans="1:6" ht="14.25" x14ac:dyDescent="0.3">
      <c r="A217" s="90" t="s">
        <v>518</v>
      </c>
      <c r="B217" s="97" t="s">
        <v>600</v>
      </c>
      <c r="C217" s="69">
        <v>90008234</v>
      </c>
      <c r="D217" s="90">
        <v>87818868</v>
      </c>
      <c r="E217" s="87" t="s">
        <v>596</v>
      </c>
      <c r="F217" s="81" t="b">
        <v>1</v>
      </c>
    </row>
    <row r="218" spans="1:6" ht="14.25" x14ac:dyDescent="0.3">
      <c r="A218" s="90" t="s">
        <v>518</v>
      </c>
      <c r="B218" s="97" t="s">
        <v>601</v>
      </c>
      <c r="C218" s="69">
        <v>90008229</v>
      </c>
      <c r="D218" s="90">
        <v>87818868</v>
      </c>
      <c r="E218" s="87" t="s">
        <v>596</v>
      </c>
      <c r="F218" s="81" t="b">
        <v>1</v>
      </c>
    </row>
    <row r="219" spans="1:6" ht="14.25" x14ac:dyDescent="0.3">
      <c r="A219" s="90" t="s">
        <v>518</v>
      </c>
      <c r="B219" s="97" t="s">
        <v>602</v>
      </c>
      <c r="C219" s="69">
        <v>90008022</v>
      </c>
      <c r="D219" s="90">
        <v>87818868</v>
      </c>
      <c r="E219" s="87" t="s">
        <v>596</v>
      </c>
      <c r="F219" s="81" t="b">
        <v>1</v>
      </c>
    </row>
    <row r="220" spans="1:6" ht="14.25" x14ac:dyDescent="0.3">
      <c r="A220" s="90" t="s">
        <v>518</v>
      </c>
      <c r="B220" s="97" t="s">
        <v>603</v>
      </c>
      <c r="C220" s="69">
        <v>90008024</v>
      </c>
      <c r="D220" s="90">
        <v>87818868</v>
      </c>
      <c r="E220" s="87" t="s">
        <v>596</v>
      </c>
      <c r="F220" s="81" t="b">
        <v>1</v>
      </c>
    </row>
    <row r="221" spans="1:6" ht="14.25" x14ac:dyDescent="0.3">
      <c r="A221" s="90" t="s">
        <v>518</v>
      </c>
      <c r="B221" s="97" t="s">
        <v>604</v>
      </c>
      <c r="C221" s="69">
        <v>90008282</v>
      </c>
      <c r="D221" s="90">
        <v>87818868</v>
      </c>
      <c r="E221" s="87" t="s">
        <v>596</v>
      </c>
      <c r="F221" s="81" t="b">
        <v>1</v>
      </c>
    </row>
    <row r="222" spans="1:6" ht="14.25" x14ac:dyDescent="0.3">
      <c r="A222" s="90" t="s">
        <v>518</v>
      </c>
      <c r="B222" s="97" t="s">
        <v>605</v>
      </c>
      <c r="C222" s="69">
        <v>90008233</v>
      </c>
      <c r="D222" s="90">
        <v>87818868</v>
      </c>
      <c r="E222" s="87" t="s">
        <v>596</v>
      </c>
      <c r="F222" s="81" t="b">
        <v>1</v>
      </c>
    </row>
    <row r="223" spans="1:6" ht="14.25" x14ac:dyDescent="0.3">
      <c r="A223" s="90" t="s">
        <v>518</v>
      </c>
      <c r="B223" s="97" t="s">
        <v>606</v>
      </c>
      <c r="C223" s="69">
        <v>90008252</v>
      </c>
      <c r="D223" s="90">
        <v>87818868</v>
      </c>
      <c r="E223" s="87" t="s">
        <v>596</v>
      </c>
      <c r="F223" s="81" t="b">
        <v>1</v>
      </c>
    </row>
    <row r="224" spans="1:6" ht="14.25" x14ac:dyDescent="0.3">
      <c r="A224" s="90" t="s">
        <v>518</v>
      </c>
      <c r="B224" s="97" t="s">
        <v>607</v>
      </c>
      <c r="C224" s="69">
        <v>90008004</v>
      </c>
      <c r="D224" s="90">
        <v>87818868</v>
      </c>
      <c r="E224" s="87" t="s">
        <v>596</v>
      </c>
      <c r="F224" s="81" t="b">
        <v>1</v>
      </c>
    </row>
    <row r="225" spans="1:6" ht="14.25" x14ac:dyDescent="0.3">
      <c r="A225" s="90" t="s">
        <v>518</v>
      </c>
      <c r="B225" s="97" t="s">
        <v>608</v>
      </c>
      <c r="C225" s="69">
        <v>90008180</v>
      </c>
      <c r="D225" s="90">
        <v>87818868</v>
      </c>
      <c r="E225" s="87" t="s">
        <v>596</v>
      </c>
      <c r="F225" s="81" t="b">
        <v>1</v>
      </c>
    </row>
    <row r="226" spans="1:6" ht="14.25" x14ac:dyDescent="0.3">
      <c r="A226" s="90" t="s">
        <v>518</v>
      </c>
      <c r="B226" s="97" t="s">
        <v>609</v>
      </c>
      <c r="C226" s="69">
        <v>90008259</v>
      </c>
      <c r="D226" s="90">
        <v>87818868</v>
      </c>
      <c r="E226" s="87" t="s">
        <v>596</v>
      </c>
      <c r="F226" s="81" t="b">
        <v>1</v>
      </c>
    </row>
    <row r="227" spans="1:6" ht="14.25" x14ac:dyDescent="0.3">
      <c r="A227" s="90" t="s">
        <v>518</v>
      </c>
      <c r="B227" s="97" t="s">
        <v>610</v>
      </c>
      <c r="C227" s="69">
        <v>90008049</v>
      </c>
      <c r="D227" s="90">
        <v>87818948</v>
      </c>
      <c r="E227" s="88" t="s">
        <v>611</v>
      </c>
      <c r="F227" s="81" t="b">
        <v>1</v>
      </c>
    </row>
    <row r="228" spans="1:6" ht="14.25" x14ac:dyDescent="0.3">
      <c r="A228" s="90" t="s">
        <v>518</v>
      </c>
      <c r="B228" s="97" t="s">
        <v>612</v>
      </c>
      <c r="C228" s="69">
        <v>90008050</v>
      </c>
      <c r="D228" s="90">
        <v>87818948</v>
      </c>
      <c r="E228" s="88" t="s">
        <v>611</v>
      </c>
      <c r="F228" s="81" t="b">
        <v>1</v>
      </c>
    </row>
    <row r="229" spans="1:6" ht="14.25" x14ac:dyDescent="0.3">
      <c r="A229" s="90" t="s">
        <v>518</v>
      </c>
      <c r="B229" s="97" t="s">
        <v>613</v>
      </c>
      <c r="C229" s="69">
        <v>90008099</v>
      </c>
      <c r="D229" s="90">
        <v>87818948</v>
      </c>
      <c r="E229" s="88" t="s">
        <v>611</v>
      </c>
      <c r="F229" s="81" t="b">
        <v>1</v>
      </c>
    </row>
    <row r="230" spans="1:6" ht="14.25" x14ac:dyDescent="0.3">
      <c r="A230" s="90" t="s">
        <v>518</v>
      </c>
      <c r="B230" s="97" t="s">
        <v>614</v>
      </c>
      <c r="C230" s="69">
        <v>90008083</v>
      </c>
      <c r="D230" s="90">
        <v>87818948</v>
      </c>
      <c r="E230" s="88" t="s">
        <v>611</v>
      </c>
      <c r="F230" s="81" t="b">
        <v>1</v>
      </c>
    </row>
    <row r="231" spans="1:6" ht="14.25" x14ac:dyDescent="0.3">
      <c r="A231" s="90" t="s">
        <v>518</v>
      </c>
      <c r="B231" s="97" t="s">
        <v>615</v>
      </c>
      <c r="C231" s="69">
        <v>90008052</v>
      </c>
      <c r="D231" s="90">
        <v>87818948</v>
      </c>
      <c r="E231" s="88" t="s">
        <v>611</v>
      </c>
      <c r="F231" s="81" t="b">
        <v>1</v>
      </c>
    </row>
    <row r="232" spans="1:6" ht="14.25" x14ac:dyDescent="0.3">
      <c r="A232" s="90" t="s">
        <v>518</v>
      </c>
      <c r="B232" s="97" t="s">
        <v>616</v>
      </c>
      <c r="C232" s="69">
        <v>90008074</v>
      </c>
      <c r="D232" s="90">
        <v>87818948</v>
      </c>
      <c r="E232" s="88" t="s">
        <v>611</v>
      </c>
      <c r="F232" s="81" t="b">
        <v>1</v>
      </c>
    </row>
    <row r="233" spans="1:6" ht="14.25" x14ac:dyDescent="0.3">
      <c r="A233" s="90" t="s">
        <v>518</v>
      </c>
      <c r="B233" s="97" t="s">
        <v>617</v>
      </c>
      <c r="C233" s="69">
        <v>90008048</v>
      </c>
      <c r="D233" s="90">
        <v>87818948</v>
      </c>
      <c r="E233" s="88" t="s">
        <v>611</v>
      </c>
      <c r="F233" s="81" t="b">
        <v>1</v>
      </c>
    </row>
    <row r="234" spans="1:6" ht="14.25" x14ac:dyDescent="0.3">
      <c r="A234" s="90" t="s">
        <v>518</v>
      </c>
      <c r="B234" s="97" t="s">
        <v>618</v>
      </c>
      <c r="C234" s="69">
        <v>90008127</v>
      </c>
      <c r="D234" s="90">
        <v>87818948</v>
      </c>
      <c r="E234" s="88" t="s">
        <v>611</v>
      </c>
      <c r="F234" s="81" t="b">
        <v>1</v>
      </c>
    </row>
    <row r="235" spans="1:6" ht="14.25" x14ac:dyDescent="0.3">
      <c r="A235" s="90" t="s">
        <v>518</v>
      </c>
      <c r="B235" s="97" t="s">
        <v>619</v>
      </c>
      <c r="C235" s="69">
        <v>90008098</v>
      </c>
      <c r="D235" s="90">
        <v>87818948</v>
      </c>
      <c r="E235" s="88" t="s">
        <v>611</v>
      </c>
      <c r="F235" s="81" t="b">
        <v>1</v>
      </c>
    </row>
    <row r="236" spans="1:6" ht="14.25" x14ac:dyDescent="0.3">
      <c r="A236" s="90" t="s">
        <v>518</v>
      </c>
      <c r="B236" s="97" t="s">
        <v>620</v>
      </c>
      <c r="C236" s="69">
        <v>90007538</v>
      </c>
      <c r="D236" s="90">
        <v>87818948</v>
      </c>
      <c r="E236" s="88" t="s">
        <v>611</v>
      </c>
      <c r="F236" s="81" t="b">
        <v>1</v>
      </c>
    </row>
    <row r="237" spans="1:6" ht="14.25" x14ac:dyDescent="0.3">
      <c r="A237" s="90" t="s">
        <v>518</v>
      </c>
      <c r="B237" s="97" t="s">
        <v>621</v>
      </c>
      <c r="C237" s="69">
        <v>90008111</v>
      </c>
      <c r="D237" s="90">
        <v>87818948</v>
      </c>
      <c r="E237" s="88" t="s">
        <v>611</v>
      </c>
      <c r="F237" s="81" t="b">
        <v>1</v>
      </c>
    </row>
    <row r="238" spans="1:6" ht="14.25" x14ac:dyDescent="0.3">
      <c r="A238" s="90" t="s">
        <v>518</v>
      </c>
      <c r="B238" s="97" t="s">
        <v>622</v>
      </c>
      <c r="C238" s="69">
        <v>90008096</v>
      </c>
      <c r="D238" s="90">
        <v>87818948</v>
      </c>
      <c r="E238" s="88" t="s">
        <v>611</v>
      </c>
      <c r="F238" s="81" t="b">
        <v>1</v>
      </c>
    </row>
    <row r="239" spans="1:6" ht="14.25" x14ac:dyDescent="0.3">
      <c r="A239" s="90" t="s">
        <v>518</v>
      </c>
      <c r="B239" s="97" t="s">
        <v>623</v>
      </c>
      <c r="C239" s="69">
        <v>90008053</v>
      </c>
      <c r="D239" s="90">
        <v>87818948</v>
      </c>
      <c r="E239" s="88" t="s">
        <v>611</v>
      </c>
      <c r="F239" s="81" t="b">
        <v>1</v>
      </c>
    </row>
    <row r="240" spans="1:6" ht="14.25" x14ac:dyDescent="0.3">
      <c r="A240" s="90" t="s">
        <v>518</v>
      </c>
      <c r="B240" s="97" t="s">
        <v>624</v>
      </c>
      <c r="C240" s="69">
        <v>90008103</v>
      </c>
      <c r="D240" s="90">
        <v>87818948</v>
      </c>
      <c r="E240" s="88" t="s">
        <v>611</v>
      </c>
      <c r="F240" s="81" t="b">
        <v>1</v>
      </c>
    </row>
    <row r="241" spans="1:6" ht="14.25" x14ac:dyDescent="0.3">
      <c r="A241" s="90" t="s">
        <v>518</v>
      </c>
      <c r="B241" s="97" t="s">
        <v>625</v>
      </c>
      <c r="C241" s="69">
        <v>90008008</v>
      </c>
      <c r="D241" s="90">
        <v>87819013</v>
      </c>
      <c r="E241" s="69" t="s">
        <v>626</v>
      </c>
      <c r="F241" s="81" t="b">
        <v>1</v>
      </c>
    </row>
    <row r="242" spans="1:6" ht="14.25" x14ac:dyDescent="0.3">
      <c r="A242" s="90" t="s">
        <v>518</v>
      </c>
      <c r="B242" s="97" t="s">
        <v>627</v>
      </c>
      <c r="C242" s="69">
        <v>90008019</v>
      </c>
      <c r="D242" s="90">
        <v>87819013</v>
      </c>
      <c r="E242" s="69" t="s">
        <v>626</v>
      </c>
      <c r="F242" s="81" t="b">
        <v>1</v>
      </c>
    </row>
    <row r="243" spans="1:6" ht="14.25" x14ac:dyDescent="0.3">
      <c r="A243" s="90" t="s">
        <v>518</v>
      </c>
      <c r="B243" s="97" t="s">
        <v>628</v>
      </c>
      <c r="C243" s="69">
        <v>90008023</v>
      </c>
      <c r="D243" s="90">
        <v>87819013</v>
      </c>
      <c r="E243" s="69" t="s">
        <v>626</v>
      </c>
      <c r="F243" s="81" t="b">
        <v>1</v>
      </c>
    </row>
    <row r="244" spans="1:6" ht="14.25" x14ac:dyDescent="0.3">
      <c r="A244" s="90" t="s">
        <v>518</v>
      </c>
      <c r="B244" s="97" t="s">
        <v>629</v>
      </c>
      <c r="C244" s="69">
        <v>90007982</v>
      </c>
      <c r="D244" s="90">
        <v>87819013</v>
      </c>
      <c r="E244" s="69" t="s">
        <v>626</v>
      </c>
      <c r="F244" s="81" t="b">
        <v>1</v>
      </c>
    </row>
    <row r="245" spans="1:6" ht="14.25" x14ac:dyDescent="0.3">
      <c r="A245" s="90" t="s">
        <v>518</v>
      </c>
      <c r="B245" s="97" t="s">
        <v>630</v>
      </c>
      <c r="C245" s="69">
        <v>90008146</v>
      </c>
      <c r="D245" s="90">
        <v>87819013</v>
      </c>
      <c r="E245" s="69" t="s">
        <v>626</v>
      </c>
      <c r="F245" s="81" t="b">
        <v>1</v>
      </c>
    </row>
    <row r="246" spans="1:6" ht="14.25" x14ac:dyDescent="0.3">
      <c r="A246" s="90" t="s">
        <v>518</v>
      </c>
      <c r="B246" s="97" t="s">
        <v>631</v>
      </c>
      <c r="C246" s="69">
        <v>90008192</v>
      </c>
      <c r="D246" s="90">
        <v>87819013</v>
      </c>
      <c r="E246" s="69" t="s">
        <v>626</v>
      </c>
      <c r="F246" s="81" t="b">
        <v>1</v>
      </c>
    </row>
    <row r="247" spans="1:6" ht="14.25" x14ac:dyDescent="0.3">
      <c r="A247" s="90" t="s">
        <v>518</v>
      </c>
      <c r="B247" s="97" t="s">
        <v>632</v>
      </c>
      <c r="C247" s="69">
        <v>90008030</v>
      </c>
      <c r="D247" s="90">
        <v>87818955</v>
      </c>
      <c r="E247" s="87" t="s">
        <v>633</v>
      </c>
      <c r="F247" s="81" t="b">
        <v>1</v>
      </c>
    </row>
    <row r="248" spans="1:6" ht="14.25" x14ac:dyDescent="0.3">
      <c r="A248" s="90" t="s">
        <v>518</v>
      </c>
      <c r="B248" s="97" t="s">
        <v>634</v>
      </c>
      <c r="C248" s="69">
        <v>90008033</v>
      </c>
      <c r="D248" s="90">
        <v>87818955</v>
      </c>
      <c r="E248" s="87" t="s">
        <v>633</v>
      </c>
      <c r="F248" s="81" t="b">
        <v>1</v>
      </c>
    </row>
    <row r="249" spans="1:6" ht="14.25" x14ac:dyDescent="0.3">
      <c r="A249" s="90" t="s">
        <v>518</v>
      </c>
      <c r="B249" s="97" t="s">
        <v>635</v>
      </c>
      <c r="C249" s="69">
        <v>90008005</v>
      </c>
      <c r="D249" s="90">
        <v>87818955</v>
      </c>
      <c r="E249" s="87" t="s">
        <v>633</v>
      </c>
      <c r="F249" s="81" t="b">
        <v>1</v>
      </c>
    </row>
    <row r="250" spans="1:6" ht="14.25" x14ac:dyDescent="0.3">
      <c r="A250" s="90" t="s">
        <v>518</v>
      </c>
      <c r="B250" s="97" t="s">
        <v>636</v>
      </c>
      <c r="C250" s="69">
        <v>90008157</v>
      </c>
      <c r="D250" s="90">
        <v>87818955</v>
      </c>
      <c r="E250" s="87" t="s">
        <v>633</v>
      </c>
      <c r="F250" s="81" t="b">
        <v>1</v>
      </c>
    </row>
    <row r="251" spans="1:6" ht="14.25" x14ac:dyDescent="0.3">
      <c r="A251" s="90" t="s">
        <v>518</v>
      </c>
      <c r="B251" s="97" t="s">
        <v>637</v>
      </c>
      <c r="C251" s="69">
        <v>90008165</v>
      </c>
      <c r="D251" s="90">
        <v>87818955</v>
      </c>
      <c r="E251" s="87" t="s">
        <v>633</v>
      </c>
      <c r="F251" s="81" t="b">
        <v>1</v>
      </c>
    </row>
    <row r="252" spans="1:6" ht="14.25" x14ac:dyDescent="0.3">
      <c r="A252" s="90" t="s">
        <v>518</v>
      </c>
      <c r="B252" s="97" t="s">
        <v>638</v>
      </c>
      <c r="C252" s="69">
        <v>90007984</v>
      </c>
      <c r="D252" s="90">
        <v>87818955</v>
      </c>
      <c r="E252" s="87" t="s">
        <v>633</v>
      </c>
      <c r="F252" s="81" t="b">
        <v>1</v>
      </c>
    </row>
    <row r="253" spans="1:6" ht="14.25" x14ac:dyDescent="0.3">
      <c r="A253" s="90" t="s">
        <v>518</v>
      </c>
      <c r="B253" s="97" t="s">
        <v>639</v>
      </c>
      <c r="C253" s="69">
        <v>90008015</v>
      </c>
      <c r="D253" s="90">
        <v>87818955</v>
      </c>
      <c r="E253" s="87" t="s">
        <v>633</v>
      </c>
      <c r="F253" s="81" t="b">
        <v>1</v>
      </c>
    </row>
    <row r="254" spans="1:6" ht="14.25" x14ac:dyDescent="0.3">
      <c r="A254" s="90" t="s">
        <v>518</v>
      </c>
      <c r="B254" s="97" t="s">
        <v>640</v>
      </c>
      <c r="C254" s="69">
        <v>90008205</v>
      </c>
      <c r="D254" s="90">
        <v>87818955</v>
      </c>
      <c r="E254" s="87" t="s">
        <v>633</v>
      </c>
      <c r="F254" s="81" t="b">
        <v>1</v>
      </c>
    </row>
    <row r="255" spans="1:6" ht="14.25" x14ac:dyDescent="0.3">
      <c r="A255" s="90" t="s">
        <v>518</v>
      </c>
      <c r="B255" s="97" t="s">
        <v>641</v>
      </c>
      <c r="C255" s="69">
        <v>90008235</v>
      </c>
      <c r="D255" s="90">
        <v>87818874</v>
      </c>
      <c r="E255" s="89" t="s">
        <v>642</v>
      </c>
      <c r="F255" s="81" t="b">
        <v>1</v>
      </c>
    </row>
    <row r="256" spans="1:6" ht="14.25" x14ac:dyDescent="0.3">
      <c r="A256" s="90" t="s">
        <v>518</v>
      </c>
      <c r="B256" s="97" t="s">
        <v>643</v>
      </c>
      <c r="C256" s="69">
        <v>90008281</v>
      </c>
      <c r="D256" s="90">
        <v>87818874</v>
      </c>
      <c r="E256" s="89" t="s">
        <v>642</v>
      </c>
      <c r="F256" s="81" t="b">
        <v>1</v>
      </c>
    </row>
    <row r="257" spans="1:6" ht="14.25" x14ac:dyDescent="0.3">
      <c r="A257" s="90" t="s">
        <v>518</v>
      </c>
      <c r="B257" s="97" t="s">
        <v>644</v>
      </c>
      <c r="C257" s="69">
        <v>90008006</v>
      </c>
      <c r="D257" s="90">
        <v>87818874</v>
      </c>
      <c r="E257" s="89" t="s">
        <v>642</v>
      </c>
      <c r="F257" s="81" t="b">
        <v>1</v>
      </c>
    </row>
    <row r="258" spans="1:6" ht="14.25" x14ac:dyDescent="0.3">
      <c r="A258" s="90" t="s">
        <v>518</v>
      </c>
      <c r="B258" s="97" t="s">
        <v>645</v>
      </c>
      <c r="C258" s="69">
        <v>90008141</v>
      </c>
      <c r="D258" s="90">
        <v>87818874</v>
      </c>
      <c r="E258" s="89" t="s">
        <v>642</v>
      </c>
      <c r="F258" s="81" t="b">
        <v>1</v>
      </c>
    </row>
    <row r="259" spans="1:6" ht="14.25" x14ac:dyDescent="0.3">
      <c r="A259" s="90" t="s">
        <v>518</v>
      </c>
      <c r="B259" s="97" t="s">
        <v>646</v>
      </c>
      <c r="C259" s="69">
        <v>90008228</v>
      </c>
      <c r="D259" s="90">
        <v>87818874</v>
      </c>
      <c r="E259" s="89" t="s">
        <v>642</v>
      </c>
      <c r="F259" s="81" t="b">
        <v>1</v>
      </c>
    </row>
    <row r="260" spans="1:6" ht="14.25" x14ac:dyDescent="0.3">
      <c r="A260" s="90" t="s">
        <v>518</v>
      </c>
      <c r="B260" s="97" t="s">
        <v>647</v>
      </c>
      <c r="C260" s="69">
        <v>90008189</v>
      </c>
      <c r="D260" s="90">
        <v>87818874</v>
      </c>
      <c r="E260" s="89" t="s">
        <v>642</v>
      </c>
      <c r="F260" s="81" t="b">
        <v>1</v>
      </c>
    </row>
    <row r="261" spans="1:6" ht="14.25" x14ac:dyDescent="0.3">
      <c r="A261" s="90" t="s">
        <v>518</v>
      </c>
      <c r="B261" s="97" t="s">
        <v>648</v>
      </c>
      <c r="C261" s="69">
        <v>90008257</v>
      </c>
      <c r="D261" s="90">
        <v>87818874</v>
      </c>
      <c r="E261" s="89" t="s">
        <v>642</v>
      </c>
      <c r="F261" s="81" t="b">
        <v>1</v>
      </c>
    </row>
    <row r="262" spans="1:6" ht="14.25" x14ac:dyDescent="0.3">
      <c r="A262" s="90" t="s">
        <v>518</v>
      </c>
      <c r="B262" s="97" t="s">
        <v>649</v>
      </c>
      <c r="C262" s="69">
        <v>90008158</v>
      </c>
      <c r="D262" s="90">
        <v>87818874</v>
      </c>
      <c r="E262" s="89" t="s">
        <v>642</v>
      </c>
      <c r="F262" s="81" t="b">
        <v>1</v>
      </c>
    </row>
    <row r="263" spans="1:6" ht="14.25" x14ac:dyDescent="0.3">
      <c r="A263" s="90" t="s">
        <v>518</v>
      </c>
      <c r="B263" s="97" t="s">
        <v>650</v>
      </c>
      <c r="C263" s="69">
        <v>90008176</v>
      </c>
      <c r="D263" s="90">
        <v>87818874</v>
      </c>
      <c r="E263" s="89" t="s">
        <v>642</v>
      </c>
      <c r="F263" s="81" t="b">
        <v>1</v>
      </c>
    </row>
    <row r="264" spans="1:6" ht="14.25" x14ac:dyDescent="0.3">
      <c r="A264" s="90" t="s">
        <v>518</v>
      </c>
      <c r="B264" s="97" t="s">
        <v>651</v>
      </c>
      <c r="C264" s="69">
        <v>90008010</v>
      </c>
      <c r="D264" s="90">
        <v>87818874</v>
      </c>
      <c r="E264" s="89" t="s">
        <v>642</v>
      </c>
      <c r="F264" s="81" t="b">
        <v>1</v>
      </c>
    </row>
    <row r="265" spans="1:6" ht="14.25" x14ac:dyDescent="0.3">
      <c r="A265" s="90" t="s">
        <v>518</v>
      </c>
      <c r="B265" s="97" t="s">
        <v>652</v>
      </c>
      <c r="C265" s="69">
        <v>90008200</v>
      </c>
      <c r="D265" s="90">
        <v>87818874</v>
      </c>
      <c r="E265" s="89" t="s">
        <v>642</v>
      </c>
      <c r="F265" s="81" t="b">
        <v>1</v>
      </c>
    </row>
    <row r="266" spans="1:6" ht="14.25" x14ac:dyDescent="0.3">
      <c r="A266" s="90" t="s">
        <v>518</v>
      </c>
      <c r="B266" s="97" t="s">
        <v>653</v>
      </c>
      <c r="C266" s="69">
        <v>90008177</v>
      </c>
      <c r="D266" s="90">
        <v>87818874</v>
      </c>
      <c r="E266" s="89" t="s">
        <v>642</v>
      </c>
      <c r="F266" s="81" t="b">
        <v>1</v>
      </c>
    </row>
    <row r="267" spans="1:6" ht="14.25" x14ac:dyDescent="0.3">
      <c r="A267" s="90" t="s">
        <v>518</v>
      </c>
      <c r="B267" s="97" t="s">
        <v>654</v>
      </c>
      <c r="C267" s="69">
        <v>90008140</v>
      </c>
      <c r="D267" s="90">
        <v>87818874</v>
      </c>
      <c r="E267" s="89" t="s">
        <v>642</v>
      </c>
      <c r="F267" s="81" t="b">
        <v>1</v>
      </c>
    </row>
    <row r="268" spans="1:6" ht="14.25" x14ac:dyDescent="0.3">
      <c r="A268" s="90" t="s">
        <v>518</v>
      </c>
      <c r="B268" s="97" t="s">
        <v>655</v>
      </c>
      <c r="C268" s="69">
        <v>90008178</v>
      </c>
      <c r="D268" s="90">
        <v>87818874</v>
      </c>
      <c r="E268" s="89" t="s">
        <v>642</v>
      </c>
      <c r="F268" s="81" t="b">
        <v>1</v>
      </c>
    </row>
    <row r="269" spans="1:6" ht="14.25" x14ac:dyDescent="0.3">
      <c r="A269" s="90" t="s">
        <v>518</v>
      </c>
      <c r="B269" s="93" t="s">
        <v>656</v>
      </c>
      <c r="C269" s="90">
        <v>83013891</v>
      </c>
      <c r="D269" s="90">
        <v>71205556</v>
      </c>
      <c r="E269" s="70" t="s">
        <v>657</v>
      </c>
      <c r="F269" s="81" t="b">
        <v>1</v>
      </c>
    </row>
    <row r="270" spans="1:6" ht="14.25" x14ac:dyDescent="0.3">
      <c r="A270" s="90" t="s">
        <v>518</v>
      </c>
      <c r="B270" s="93" t="s">
        <v>551</v>
      </c>
      <c r="C270" s="90">
        <v>87818865</v>
      </c>
      <c r="D270" s="90">
        <v>83013891</v>
      </c>
      <c r="E270" s="82" t="s">
        <v>656</v>
      </c>
      <c r="F270" s="81" t="b">
        <v>1</v>
      </c>
    </row>
    <row r="271" spans="1:6" ht="14.25" x14ac:dyDescent="0.3">
      <c r="A271" s="90" t="s">
        <v>518</v>
      </c>
      <c r="B271" s="93" t="s">
        <v>542</v>
      </c>
      <c r="C271" s="90">
        <v>87818875</v>
      </c>
      <c r="D271" s="90">
        <v>83013891</v>
      </c>
      <c r="E271" s="82" t="s">
        <v>656</v>
      </c>
      <c r="F271" s="81" t="b">
        <v>1</v>
      </c>
    </row>
    <row r="272" spans="1:6" ht="14.25" x14ac:dyDescent="0.3">
      <c r="A272" s="90" t="s">
        <v>518</v>
      </c>
      <c r="B272" s="93" t="s">
        <v>658</v>
      </c>
      <c r="C272" s="90">
        <v>87819000</v>
      </c>
      <c r="D272" s="90">
        <v>83013891</v>
      </c>
      <c r="E272" s="82" t="s">
        <v>656</v>
      </c>
      <c r="F272" s="81" t="b">
        <v>1</v>
      </c>
    </row>
    <row r="273" spans="1:6" ht="14.25" x14ac:dyDescent="0.3">
      <c r="A273" s="90" t="s">
        <v>518</v>
      </c>
      <c r="B273" s="93" t="s">
        <v>520</v>
      </c>
      <c r="C273" s="90">
        <v>87818880</v>
      </c>
      <c r="D273" s="90">
        <v>83013891</v>
      </c>
      <c r="E273" s="82" t="s">
        <v>656</v>
      </c>
      <c r="F273" s="81" t="b">
        <v>1</v>
      </c>
    </row>
    <row r="274" spans="1:6" ht="14.25" x14ac:dyDescent="0.3">
      <c r="A274" s="90" t="s">
        <v>518</v>
      </c>
      <c r="B274" s="93" t="s">
        <v>596</v>
      </c>
      <c r="C274" s="90">
        <v>87818868</v>
      </c>
      <c r="D274" s="90">
        <v>83013891</v>
      </c>
      <c r="E274" s="82" t="s">
        <v>656</v>
      </c>
      <c r="F274" s="81" t="b">
        <v>1</v>
      </c>
    </row>
    <row r="275" spans="1:6" ht="14.25" x14ac:dyDescent="0.3">
      <c r="A275" s="90" t="s">
        <v>518</v>
      </c>
      <c r="B275" s="93" t="s">
        <v>587</v>
      </c>
      <c r="C275" s="90">
        <v>87818872</v>
      </c>
      <c r="D275" s="90">
        <v>83013891</v>
      </c>
      <c r="E275" s="82" t="s">
        <v>656</v>
      </c>
      <c r="F275" s="81" t="b">
        <v>1</v>
      </c>
    </row>
    <row r="276" spans="1:6" ht="14.25" x14ac:dyDescent="0.3">
      <c r="A276" s="90" t="s">
        <v>518</v>
      </c>
      <c r="B276" s="93" t="s">
        <v>535</v>
      </c>
      <c r="C276" s="90">
        <v>87818876</v>
      </c>
      <c r="D276" s="90">
        <v>83013891</v>
      </c>
      <c r="E276" s="82" t="s">
        <v>656</v>
      </c>
      <c r="F276" s="81" t="b">
        <v>1</v>
      </c>
    </row>
    <row r="277" spans="1:6" ht="14.25" x14ac:dyDescent="0.3">
      <c r="A277" s="90" t="s">
        <v>518</v>
      </c>
      <c r="B277" s="93" t="s">
        <v>566</v>
      </c>
      <c r="C277" s="90">
        <v>87818869</v>
      </c>
      <c r="D277" s="90">
        <v>83013891</v>
      </c>
      <c r="E277" s="82" t="s">
        <v>656</v>
      </c>
      <c r="F277" s="81" t="b">
        <v>1</v>
      </c>
    </row>
    <row r="278" spans="1:6" ht="14.25" x14ac:dyDescent="0.3">
      <c r="A278" s="90" t="s">
        <v>518</v>
      </c>
      <c r="B278" s="93" t="s">
        <v>642</v>
      </c>
      <c r="C278" s="90">
        <v>87818874</v>
      </c>
      <c r="D278" s="90">
        <v>83013891</v>
      </c>
      <c r="E278" s="82" t="s">
        <v>656</v>
      </c>
      <c r="F278" s="81" t="b">
        <v>1</v>
      </c>
    </row>
    <row r="279" spans="1:6" ht="14.25" x14ac:dyDescent="0.3">
      <c r="A279" s="90" t="s">
        <v>518</v>
      </c>
      <c r="B279" s="93" t="s">
        <v>633</v>
      </c>
      <c r="C279" s="90">
        <v>87818955</v>
      </c>
      <c r="D279" s="90">
        <v>83013891</v>
      </c>
      <c r="E279" s="82" t="s">
        <v>656</v>
      </c>
      <c r="F279" s="81" t="b">
        <v>1</v>
      </c>
    </row>
    <row r="280" spans="1:6" ht="14.25" x14ac:dyDescent="0.3">
      <c r="A280" s="90" t="s">
        <v>518</v>
      </c>
      <c r="B280" s="93" t="s">
        <v>626</v>
      </c>
      <c r="C280" s="90">
        <v>87819013</v>
      </c>
      <c r="D280" s="90">
        <v>83013891</v>
      </c>
      <c r="E280" s="82" t="s">
        <v>656</v>
      </c>
      <c r="F280" s="81" t="b">
        <v>1</v>
      </c>
    </row>
    <row r="281" spans="1:6" ht="14.25" x14ac:dyDescent="0.3">
      <c r="A281" s="90" t="s">
        <v>518</v>
      </c>
      <c r="B281" s="93" t="s">
        <v>611</v>
      </c>
      <c r="C281" s="90">
        <v>87818948</v>
      </c>
      <c r="D281" s="90">
        <v>83013891</v>
      </c>
      <c r="E281" s="82" t="s">
        <v>656</v>
      </c>
      <c r="F281" s="81" t="b">
        <v>1</v>
      </c>
    </row>
    <row r="282" spans="1:6" ht="14.25" x14ac:dyDescent="0.3">
      <c r="A282" s="90" t="s">
        <v>518</v>
      </c>
      <c r="B282" s="93" t="s">
        <v>659</v>
      </c>
      <c r="C282" s="90">
        <v>87818867</v>
      </c>
      <c r="D282" s="90">
        <v>83013891</v>
      </c>
      <c r="E282" s="82" t="s">
        <v>656</v>
      </c>
      <c r="F282" s="81" t="b">
        <v>1</v>
      </c>
    </row>
    <row r="283" spans="1:6" ht="14.25" x14ac:dyDescent="0.3">
      <c r="A283" s="90" t="s">
        <v>518</v>
      </c>
      <c r="B283" s="93" t="s">
        <v>660</v>
      </c>
      <c r="C283" s="90">
        <v>87818882</v>
      </c>
      <c r="D283" s="90">
        <v>83013891</v>
      </c>
      <c r="E283" s="82" t="s">
        <v>656</v>
      </c>
      <c r="F283" s="81" t="b">
        <v>1</v>
      </c>
    </row>
    <row r="284" spans="1:6" ht="14.25" x14ac:dyDescent="0.3">
      <c r="A284" s="90" t="s">
        <v>518</v>
      </c>
      <c r="B284" s="93" t="s">
        <v>516</v>
      </c>
      <c r="C284" s="90">
        <v>87818999</v>
      </c>
      <c r="D284" s="90">
        <v>83013891</v>
      </c>
      <c r="E284" s="82" t="s">
        <v>656</v>
      </c>
      <c r="F284" s="81" t="b">
        <v>1</v>
      </c>
    </row>
    <row r="285" spans="1:6" ht="14.25" x14ac:dyDescent="0.3">
      <c r="A285" s="90" t="s">
        <v>518</v>
      </c>
      <c r="B285" s="93" t="s">
        <v>517</v>
      </c>
      <c r="C285" s="90">
        <v>87818933</v>
      </c>
      <c r="D285" s="90">
        <v>83013891</v>
      </c>
      <c r="E285" s="82" t="s">
        <v>656</v>
      </c>
      <c r="F285" s="81" t="b">
        <v>1</v>
      </c>
    </row>
  </sheetData>
  <conditionalFormatting sqref="C143:C268">
    <cfRule type="duplicateValues" dxfId="2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9DF2-D219-4727-85A3-518D5D4459E8}">
  <dimension ref="A1:E251"/>
  <sheetViews>
    <sheetView topLeftCell="A238" workbookViewId="0">
      <selection activeCell="H258" sqref="H258"/>
    </sheetView>
  </sheetViews>
  <sheetFormatPr defaultRowHeight="13.5" x14ac:dyDescent="0.3"/>
  <cols>
    <col min="1" max="1" width="17.86328125" customWidth="1"/>
    <col min="2" max="2" width="18.265625" bestFit="1" customWidth="1"/>
    <col min="3" max="3" width="15.59765625" bestFit="1" customWidth="1"/>
    <col min="4" max="4" width="14.59765625" customWidth="1"/>
    <col min="5" max="5" width="12.73046875" bestFit="1" customWidth="1"/>
  </cols>
  <sheetData>
    <row r="1" spans="1:5" ht="14.65" x14ac:dyDescent="0.45">
      <c r="A1" s="104" t="s">
        <v>371</v>
      </c>
      <c r="B1" s="98" t="s">
        <v>372</v>
      </c>
      <c r="C1" s="99" t="s">
        <v>661</v>
      </c>
      <c r="D1" s="100" t="s">
        <v>662</v>
      </c>
      <c r="E1" s="101" t="s">
        <v>375</v>
      </c>
    </row>
    <row r="2" spans="1:5" ht="14.65" x14ac:dyDescent="0.45">
      <c r="A2" s="90" t="s">
        <v>663</v>
      </c>
      <c r="B2" s="90" t="s">
        <v>377</v>
      </c>
      <c r="C2" s="102" t="s">
        <v>664</v>
      </c>
      <c r="D2" s="102" t="s">
        <v>665</v>
      </c>
      <c r="E2" s="103" t="b">
        <v>1</v>
      </c>
    </row>
    <row r="3" spans="1:5" ht="14.65" x14ac:dyDescent="0.45">
      <c r="A3" s="90" t="s">
        <v>663</v>
      </c>
      <c r="B3" s="90" t="s">
        <v>379</v>
      </c>
      <c r="C3" s="102" t="s">
        <v>666</v>
      </c>
      <c r="D3" s="102" t="s">
        <v>667</v>
      </c>
      <c r="E3" s="103" t="b">
        <v>1</v>
      </c>
    </row>
    <row r="4" spans="1:5" ht="14.65" x14ac:dyDescent="0.45">
      <c r="A4" s="90" t="s">
        <v>663</v>
      </c>
      <c r="B4" s="90" t="s">
        <v>380</v>
      </c>
      <c r="C4" s="102" t="s">
        <v>668</v>
      </c>
      <c r="D4" s="102" t="s">
        <v>669</v>
      </c>
      <c r="E4" s="103" t="b">
        <v>1</v>
      </c>
    </row>
    <row r="5" spans="1:5" ht="14.65" x14ac:dyDescent="0.45">
      <c r="A5" s="90" t="s">
        <v>663</v>
      </c>
      <c r="B5" s="90" t="s">
        <v>381</v>
      </c>
      <c r="C5" s="102" t="s">
        <v>670</v>
      </c>
      <c r="D5" s="102" t="s">
        <v>671</v>
      </c>
      <c r="E5" s="103" t="b">
        <v>1</v>
      </c>
    </row>
    <row r="6" spans="1:5" ht="14.65" x14ac:dyDescent="0.45">
      <c r="A6" s="90" t="s">
        <v>663</v>
      </c>
      <c r="B6" s="90" t="s">
        <v>382</v>
      </c>
      <c r="C6" s="102" t="s">
        <v>672</v>
      </c>
      <c r="D6" s="102" t="s">
        <v>673</v>
      </c>
      <c r="E6" s="103" t="b">
        <v>1</v>
      </c>
    </row>
    <row r="7" spans="1:5" ht="14.65" x14ac:dyDescent="0.45">
      <c r="A7" s="90" t="s">
        <v>663</v>
      </c>
      <c r="B7" s="90" t="s">
        <v>383</v>
      </c>
      <c r="C7" s="102" t="s">
        <v>674</v>
      </c>
      <c r="D7" s="102" t="s">
        <v>675</v>
      </c>
      <c r="E7" s="103" t="b">
        <v>1</v>
      </c>
    </row>
    <row r="8" spans="1:5" ht="14.65" x14ac:dyDescent="0.45">
      <c r="A8" s="90" t="s">
        <v>663</v>
      </c>
      <c r="B8" s="90" t="s">
        <v>384</v>
      </c>
      <c r="C8" s="102" t="s">
        <v>676</v>
      </c>
      <c r="D8" s="102" t="s">
        <v>677</v>
      </c>
      <c r="E8" s="103" t="b">
        <v>1</v>
      </c>
    </row>
    <row r="9" spans="1:5" ht="14.65" x14ac:dyDescent="0.45">
      <c r="A9" s="90" t="s">
        <v>663</v>
      </c>
      <c r="B9" s="90" t="s">
        <v>385</v>
      </c>
      <c r="C9" s="102" t="s">
        <v>678</v>
      </c>
      <c r="D9" s="102" t="s">
        <v>679</v>
      </c>
      <c r="E9" s="103" t="b">
        <v>1</v>
      </c>
    </row>
    <row r="10" spans="1:5" ht="14.65" x14ac:dyDescent="0.45">
      <c r="A10" s="90" t="s">
        <v>663</v>
      </c>
      <c r="B10" s="90" t="s">
        <v>386</v>
      </c>
      <c r="C10" s="102" t="s">
        <v>680</v>
      </c>
      <c r="D10" s="102" t="s">
        <v>681</v>
      </c>
      <c r="E10" s="103" t="b">
        <v>1</v>
      </c>
    </row>
    <row r="11" spans="1:5" ht="14.65" x14ac:dyDescent="0.45">
      <c r="A11" s="90" t="s">
        <v>663</v>
      </c>
      <c r="B11" s="90" t="s">
        <v>387</v>
      </c>
      <c r="C11" s="102" t="s">
        <v>682</v>
      </c>
      <c r="D11" s="102" t="s">
        <v>683</v>
      </c>
      <c r="E11" s="103" t="b">
        <v>1</v>
      </c>
    </row>
    <row r="12" spans="1:5" ht="14.65" x14ac:dyDescent="0.45">
      <c r="A12" s="90" t="s">
        <v>663</v>
      </c>
      <c r="B12" s="90" t="s">
        <v>388</v>
      </c>
      <c r="C12" s="102" t="s">
        <v>684</v>
      </c>
      <c r="D12" s="102" t="s">
        <v>685</v>
      </c>
      <c r="E12" s="103" t="b">
        <v>1</v>
      </c>
    </row>
    <row r="13" spans="1:5" ht="14.65" x14ac:dyDescent="0.45">
      <c r="A13" s="90" t="s">
        <v>663</v>
      </c>
      <c r="B13" s="90" t="s">
        <v>389</v>
      </c>
      <c r="C13" s="102" t="s">
        <v>686</v>
      </c>
      <c r="D13" s="102" t="s">
        <v>687</v>
      </c>
      <c r="E13" s="103" t="b">
        <v>1</v>
      </c>
    </row>
    <row r="14" spans="1:5" ht="14.65" x14ac:dyDescent="0.45">
      <c r="A14" s="90" t="s">
        <v>663</v>
      </c>
      <c r="B14" s="90" t="s">
        <v>390</v>
      </c>
      <c r="C14" s="102" t="s">
        <v>688</v>
      </c>
      <c r="D14" s="102" t="s">
        <v>689</v>
      </c>
      <c r="E14" s="103" t="b">
        <v>1</v>
      </c>
    </row>
    <row r="15" spans="1:5" ht="14.65" x14ac:dyDescent="0.45">
      <c r="A15" s="90" t="s">
        <v>663</v>
      </c>
      <c r="B15" s="90" t="s">
        <v>391</v>
      </c>
      <c r="C15" s="102" t="s">
        <v>690</v>
      </c>
      <c r="D15" s="102" t="s">
        <v>691</v>
      </c>
      <c r="E15" s="103" t="b">
        <v>1</v>
      </c>
    </row>
    <row r="16" spans="1:5" ht="14.65" x14ac:dyDescent="0.45">
      <c r="A16" s="90" t="s">
        <v>663</v>
      </c>
      <c r="B16" s="90" t="s">
        <v>392</v>
      </c>
      <c r="C16" s="102" t="s">
        <v>692</v>
      </c>
      <c r="D16" s="102" t="s">
        <v>693</v>
      </c>
      <c r="E16" s="103" t="b">
        <v>1</v>
      </c>
    </row>
    <row r="17" spans="1:5" ht="14.65" x14ac:dyDescent="0.45">
      <c r="A17" s="90" t="s">
        <v>663</v>
      </c>
      <c r="B17" s="90" t="s">
        <v>394</v>
      </c>
      <c r="C17" s="102" t="s">
        <v>694</v>
      </c>
      <c r="D17" s="102" t="s">
        <v>695</v>
      </c>
      <c r="E17" s="103" t="b">
        <v>1</v>
      </c>
    </row>
    <row r="18" spans="1:5" ht="14.65" x14ac:dyDescent="0.45">
      <c r="A18" s="90" t="s">
        <v>663</v>
      </c>
      <c r="B18" s="90" t="s">
        <v>395</v>
      </c>
      <c r="C18" s="102" t="s">
        <v>696</v>
      </c>
      <c r="D18" s="102" t="s">
        <v>697</v>
      </c>
      <c r="E18" s="103" t="b">
        <v>1</v>
      </c>
    </row>
    <row r="19" spans="1:5" ht="14.65" x14ac:dyDescent="0.45">
      <c r="A19" s="90" t="s">
        <v>663</v>
      </c>
      <c r="B19" s="90" t="s">
        <v>396</v>
      </c>
      <c r="C19" s="102" t="s">
        <v>698</v>
      </c>
      <c r="D19" s="102" t="s">
        <v>699</v>
      </c>
      <c r="E19" s="103" t="b">
        <v>1</v>
      </c>
    </row>
    <row r="20" spans="1:5" ht="14.65" x14ac:dyDescent="0.45">
      <c r="A20" s="90" t="s">
        <v>663</v>
      </c>
      <c r="B20" s="90" t="s">
        <v>397</v>
      </c>
      <c r="C20" s="102" t="s">
        <v>700</v>
      </c>
      <c r="D20" s="102" t="s">
        <v>701</v>
      </c>
      <c r="E20" s="103" t="b">
        <v>1</v>
      </c>
    </row>
    <row r="21" spans="1:5" ht="14.65" x14ac:dyDescent="0.45">
      <c r="A21" s="90" t="s">
        <v>663</v>
      </c>
      <c r="B21" s="90" t="s">
        <v>398</v>
      </c>
      <c r="C21" s="102" t="s">
        <v>702</v>
      </c>
      <c r="D21" s="102" t="s">
        <v>703</v>
      </c>
      <c r="E21" s="103" t="b">
        <v>1</v>
      </c>
    </row>
    <row r="22" spans="1:5" ht="14.65" x14ac:dyDescent="0.45">
      <c r="A22" s="90" t="s">
        <v>663</v>
      </c>
      <c r="B22" s="90" t="s">
        <v>399</v>
      </c>
      <c r="C22" s="102" t="s">
        <v>704</v>
      </c>
      <c r="D22" s="102" t="s">
        <v>705</v>
      </c>
      <c r="E22" s="103" t="b">
        <v>1</v>
      </c>
    </row>
    <row r="23" spans="1:5" ht="14.65" x14ac:dyDescent="0.45">
      <c r="A23" s="90" t="s">
        <v>663</v>
      </c>
      <c r="B23" s="90" t="s">
        <v>401</v>
      </c>
      <c r="C23" s="102" t="s">
        <v>706</v>
      </c>
      <c r="D23" s="102" t="s">
        <v>707</v>
      </c>
      <c r="E23" s="103" t="b">
        <v>1</v>
      </c>
    </row>
    <row r="24" spans="1:5" ht="14.65" x14ac:dyDescent="0.45">
      <c r="A24" s="90" t="s">
        <v>663</v>
      </c>
      <c r="B24" s="90" t="s">
        <v>402</v>
      </c>
      <c r="C24" s="102" t="s">
        <v>708</v>
      </c>
      <c r="D24" s="102" t="s">
        <v>709</v>
      </c>
      <c r="E24" s="103" t="b">
        <v>1</v>
      </c>
    </row>
    <row r="25" spans="1:5" ht="14.65" x14ac:dyDescent="0.45">
      <c r="A25" s="90" t="s">
        <v>663</v>
      </c>
      <c r="B25" s="90" t="s">
        <v>403</v>
      </c>
      <c r="C25" s="102" t="s">
        <v>710</v>
      </c>
      <c r="D25" s="102" t="s">
        <v>711</v>
      </c>
      <c r="E25" s="103" t="b">
        <v>1</v>
      </c>
    </row>
    <row r="26" spans="1:5" ht="14.65" x14ac:dyDescent="0.45">
      <c r="A26" s="90" t="s">
        <v>663</v>
      </c>
      <c r="B26" s="90" t="s">
        <v>404</v>
      </c>
      <c r="C26" s="102" t="s">
        <v>712</v>
      </c>
      <c r="D26" s="102" t="s">
        <v>713</v>
      </c>
      <c r="E26" s="103" t="b">
        <v>1</v>
      </c>
    </row>
    <row r="27" spans="1:5" ht="14.65" x14ac:dyDescent="0.45">
      <c r="A27" s="90" t="s">
        <v>663</v>
      </c>
      <c r="B27" s="90" t="s">
        <v>405</v>
      </c>
      <c r="C27" s="102" t="s">
        <v>714</v>
      </c>
      <c r="D27" s="102" t="s">
        <v>715</v>
      </c>
      <c r="E27" s="103" t="b">
        <v>1</v>
      </c>
    </row>
    <row r="28" spans="1:5" ht="14.65" x14ac:dyDescent="0.45">
      <c r="A28" s="90" t="s">
        <v>663</v>
      </c>
      <c r="B28" s="90" t="s">
        <v>406</v>
      </c>
      <c r="C28" s="102" t="s">
        <v>716</v>
      </c>
      <c r="D28" s="102" t="s">
        <v>717</v>
      </c>
      <c r="E28" s="103" t="b">
        <v>1</v>
      </c>
    </row>
    <row r="29" spans="1:5" ht="14.65" x14ac:dyDescent="0.45">
      <c r="A29" s="90" t="s">
        <v>663</v>
      </c>
      <c r="B29" s="90" t="s">
        <v>408</v>
      </c>
      <c r="C29" s="102" t="s">
        <v>718</v>
      </c>
      <c r="D29" s="102" t="s">
        <v>719</v>
      </c>
      <c r="E29" s="103" t="b">
        <v>1</v>
      </c>
    </row>
    <row r="30" spans="1:5" ht="14.65" x14ac:dyDescent="0.45">
      <c r="A30" s="90" t="s">
        <v>663</v>
      </c>
      <c r="B30" s="90" t="s">
        <v>409</v>
      </c>
      <c r="C30" s="102" t="s">
        <v>720</v>
      </c>
      <c r="D30" s="102" t="s">
        <v>721</v>
      </c>
      <c r="E30" s="103" t="b">
        <v>1</v>
      </c>
    </row>
    <row r="31" spans="1:5" ht="14.65" x14ac:dyDescent="0.45">
      <c r="A31" s="90" t="s">
        <v>663</v>
      </c>
      <c r="B31" s="90" t="s">
        <v>410</v>
      </c>
      <c r="C31" s="102" t="s">
        <v>722</v>
      </c>
      <c r="D31" s="102" t="s">
        <v>723</v>
      </c>
      <c r="E31" s="103" t="b">
        <v>1</v>
      </c>
    </row>
    <row r="32" spans="1:5" ht="14.65" x14ac:dyDescent="0.45">
      <c r="A32" s="90" t="s">
        <v>663</v>
      </c>
      <c r="B32" s="90" t="s">
        <v>411</v>
      </c>
      <c r="C32" s="102" t="s">
        <v>724</v>
      </c>
      <c r="D32" s="102" t="s">
        <v>725</v>
      </c>
      <c r="E32" s="103" t="b">
        <v>1</v>
      </c>
    </row>
    <row r="33" spans="1:5" ht="14.65" x14ac:dyDescent="0.45">
      <c r="A33" s="90" t="s">
        <v>663</v>
      </c>
      <c r="B33" s="90" t="s">
        <v>412</v>
      </c>
      <c r="C33" s="102" t="s">
        <v>726</v>
      </c>
      <c r="D33" s="102" t="s">
        <v>727</v>
      </c>
      <c r="E33" s="103" t="b">
        <v>1</v>
      </c>
    </row>
    <row r="34" spans="1:5" ht="14.65" x14ac:dyDescent="0.45">
      <c r="A34" s="90" t="s">
        <v>663</v>
      </c>
      <c r="B34" s="90" t="s">
        <v>413</v>
      </c>
      <c r="C34" s="102" t="s">
        <v>728</v>
      </c>
      <c r="D34" s="102" t="s">
        <v>729</v>
      </c>
      <c r="E34" s="103" t="b">
        <v>1</v>
      </c>
    </row>
    <row r="35" spans="1:5" ht="14.65" x14ac:dyDescent="0.45">
      <c r="A35" s="90" t="s">
        <v>663</v>
      </c>
      <c r="B35" s="90" t="s">
        <v>414</v>
      </c>
      <c r="C35" s="102" t="s">
        <v>730</v>
      </c>
      <c r="D35" s="102" t="s">
        <v>731</v>
      </c>
      <c r="E35" s="103" t="b">
        <v>1</v>
      </c>
    </row>
    <row r="36" spans="1:5" ht="14.65" x14ac:dyDescent="0.45">
      <c r="A36" s="90" t="s">
        <v>663</v>
      </c>
      <c r="B36" s="90" t="s">
        <v>415</v>
      </c>
      <c r="C36" s="102" t="s">
        <v>732</v>
      </c>
      <c r="D36" s="102" t="s">
        <v>733</v>
      </c>
      <c r="E36" s="103" t="b">
        <v>1</v>
      </c>
    </row>
    <row r="37" spans="1:5" ht="14.65" x14ac:dyDescent="0.45">
      <c r="A37" s="90" t="s">
        <v>663</v>
      </c>
      <c r="B37" s="90" t="s">
        <v>416</v>
      </c>
      <c r="C37" s="102" t="s">
        <v>734</v>
      </c>
      <c r="D37" s="102" t="s">
        <v>735</v>
      </c>
      <c r="E37" s="103" t="b">
        <v>1</v>
      </c>
    </row>
    <row r="38" spans="1:5" ht="14.65" x14ac:dyDescent="0.45">
      <c r="A38" s="90" t="s">
        <v>663</v>
      </c>
      <c r="B38" s="90" t="s">
        <v>417</v>
      </c>
      <c r="C38" s="102" t="s">
        <v>736</v>
      </c>
      <c r="D38" s="102" t="s">
        <v>737</v>
      </c>
      <c r="E38" s="103" t="b">
        <v>1</v>
      </c>
    </row>
    <row r="39" spans="1:5" ht="14.65" x14ac:dyDescent="0.45">
      <c r="A39" s="90" t="s">
        <v>663</v>
      </c>
      <c r="B39" s="90" t="s">
        <v>418</v>
      </c>
      <c r="C39" s="102" t="s">
        <v>738</v>
      </c>
      <c r="D39" s="102" t="s">
        <v>739</v>
      </c>
      <c r="E39" s="103" t="b">
        <v>1</v>
      </c>
    </row>
    <row r="40" spans="1:5" ht="14.65" x14ac:dyDescent="0.45">
      <c r="A40" s="90" t="s">
        <v>663</v>
      </c>
      <c r="B40" s="90" t="s">
        <v>419</v>
      </c>
      <c r="C40" s="102" t="s">
        <v>740</v>
      </c>
      <c r="D40" s="102" t="s">
        <v>741</v>
      </c>
      <c r="E40" s="103" t="b">
        <v>1</v>
      </c>
    </row>
    <row r="41" spans="1:5" ht="14.65" x14ac:dyDescent="0.45">
      <c r="A41" s="90" t="s">
        <v>663</v>
      </c>
      <c r="B41" s="90" t="s">
        <v>420</v>
      </c>
      <c r="C41" s="102" t="s">
        <v>742</v>
      </c>
      <c r="D41" s="102" t="s">
        <v>743</v>
      </c>
      <c r="E41" s="103" t="b">
        <v>1</v>
      </c>
    </row>
    <row r="42" spans="1:5" ht="14.65" x14ac:dyDescent="0.45">
      <c r="A42" s="90" t="s">
        <v>663</v>
      </c>
      <c r="B42" s="90" t="s">
        <v>421</v>
      </c>
      <c r="C42" s="102" t="s">
        <v>744</v>
      </c>
      <c r="D42" s="102" t="s">
        <v>745</v>
      </c>
      <c r="E42" s="103" t="b">
        <v>1</v>
      </c>
    </row>
    <row r="43" spans="1:5" ht="14.65" x14ac:dyDescent="0.45">
      <c r="A43" s="90" t="s">
        <v>663</v>
      </c>
      <c r="B43" s="90" t="s">
        <v>423</v>
      </c>
      <c r="C43" s="102" t="s">
        <v>746</v>
      </c>
      <c r="D43" s="102" t="s">
        <v>747</v>
      </c>
      <c r="E43" s="103" t="b">
        <v>1</v>
      </c>
    </row>
    <row r="44" spans="1:5" ht="14.65" x14ac:dyDescent="0.45">
      <c r="A44" s="90" t="s">
        <v>663</v>
      </c>
      <c r="B44" s="90" t="s">
        <v>424</v>
      </c>
      <c r="C44" s="102" t="s">
        <v>748</v>
      </c>
      <c r="D44" s="102" t="s">
        <v>749</v>
      </c>
      <c r="E44" s="103" t="b">
        <v>1</v>
      </c>
    </row>
    <row r="45" spans="1:5" ht="14.65" x14ac:dyDescent="0.45">
      <c r="A45" s="90" t="s">
        <v>663</v>
      </c>
      <c r="B45" s="90" t="s">
        <v>425</v>
      </c>
      <c r="C45" s="102" t="s">
        <v>750</v>
      </c>
      <c r="D45" s="102" t="s">
        <v>751</v>
      </c>
      <c r="E45" s="103" t="b">
        <v>1</v>
      </c>
    </row>
    <row r="46" spans="1:5" ht="14.65" x14ac:dyDescent="0.45">
      <c r="A46" s="90" t="s">
        <v>663</v>
      </c>
      <c r="B46" s="90" t="s">
        <v>426</v>
      </c>
      <c r="C46" s="102" t="s">
        <v>752</v>
      </c>
      <c r="D46" s="102" t="s">
        <v>753</v>
      </c>
      <c r="E46" s="103" t="b">
        <v>1</v>
      </c>
    </row>
    <row r="47" spans="1:5" ht="14.65" x14ac:dyDescent="0.45">
      <c r="A47" s="90" t="s">
        <v>663</v>
      </c>
      <c r="B47" s="90" t="s">
        <v>427</v>
      </c>
      <c r="C47" s="102" t="s">
        <v>754</v>
      </c>
      <c r="D47" s="102" t="s">
        <v>755</v>
      </c>
      <c r="E47" s="103" t="b">
        <v>1</v>
      </c>
    </row>
    <row r="48" spans="1:5" ht="14.65" x14ac:dyDescent="0.45">
      <c r="A48" s="90" t="s">
        <v>663</v>
      </c>
      <c r="B48" s="90" t="s">
        <v>428</v>
      </c>
      <c r="C48" s="102" t="s">
        <v>756</v>
      </c>
      <c r="D48" s="102" t="s">
        <v>757</v>
      </c>
      <c r="E48" s="103" t="b">
        <v>1</v>
      </c>
    </row>
    <row r="49" spans="1:5" ht="14.65" x14ac:dyDescent="0.45">
      <c r="A49" s="90" t="s">
        <v>663</v>
      </c>
      <c r="B49" s="90" t="s">
        <v>429</v>
      </c>
      <c r="C49" s="102" t="s">
        <v>758</v>
      </c>
      <c r="D49" s="102" t="s">
        <v>759</v>
      </c>
      <c r="E49" s="103" t="b">
        <v>1</v>
      </c>
    </row>
    <row r="50" spans="1:5" ht="14.65" x14ac:dyDescent="0.45">
      <c r="A50" s="90" t="s">
        <v>663</v>
      </c>
      <c r="B50" s="90" t="s">
        <v>430</v>
      </c>
      <c r="C50" s="102" t="s">
        <v>760</v>
      </c>
      <c r="D50" s="102" t="s">
        <v>761</v>
      </c>
      <c r="E50" s="103" t="b">
        <v>1</v>
      </c>
    </row>
    <row r="51" spans="1:5" ht="14.65" x14ac:dyDescent="0.45">
      <c r="A51" s="90" t="s">
        <v>663</v>
      </c>
      <c r="B51" s="90" t="s">
        <v>431</v>
      </c>
      <c r="C51" s="102" t="s">
        <v>762</v>
      </c>
      <c r="D51" s="102" t="s">
        <v>763</v>
      </c>
      <c r="E51" s="103" t="b">
        <v>1</v>
      </c>
    </row>
    <row r="52" spans="1:5" ht="14.65" x14ac:dyDescent="0.45">
      <c r="A52" s="90" t="s">
        <v>663</v>
      </c>
      <c r="B52" s="90" t="s">
        <v>432</v>
      </c>
      <c r="C52" s="102" t="s">
        <v>764</v>
      </c>
      <c r="D52" s="102" t="s">
        <v>765</v>
      </c>
      <c r="E52" s="103" t="b">
        <v>1</v>
      </c>
    </row>
    <row r="53" spans="1:5" ht="14.65" x14ac:dyDescent="0.45">
      <c r="A53" s="90" t="s">
        <v>663</v>
      </c>
      <c r="B53" s="90" t="s">
        <v>433</v>
      </c>
      <c r="C53" s="102" t="s">
        <v>766</v>
      </c>
      <c r="D53" s="102" t="s">
        <v>767</v>
      </c>
      <c r="E53" s="103" t="b">
        <v>1</v>
      </c>
    </row>
    <row r="54" spans="1:5" ht="14.65" x14ac:dyDescent="0.45">
      <c r="A54" s="90" t="s">
        <v>663</v>
      </c>
      <c r="B54" s="90" t="s">
        <v>434</v>
      </c>
      <c r="C54" s="102" t="s">
        <v>768</v>
      </c>
      <c r="D54" s="102" t="s">
        <v>769</v>
      </c>
      <c r="E54" s="103" t="b">
        <v>1</v>
      </c>
    </row>
    <row r="55" spans="1:5" ht="14.65" x14ac:dyDescent="0.45">
      <c r="A55" s="90" t="s">
        <v>663</v>
      </c>
      <c r="B55" s="90" t="s">
        <v>435</v>
      </c>
      <c r="C55" s="102" t="s">
        <v>770</v>
      </c>
      <c r="D55" s="102" t="s">
        <v>771</v>
      </c>
      <c r="E55" s="103" t="b">
        <v>1</v>
      </c>
    </row>
    <row r="56" spans="1:5" ht="14.65" x14ac:dyDescent="0.45">
      <c r="A56" s="90" t="s">
        <v>663</v>
      </c>
      <c r="B56" s="90" t="s">
        <v>436</v>
      </c>
      <c r="C56" s="102" t="s">
        <v>772</v>
      </c>
      <c r="D56" s="102" t="s">
        <v>773</v>
      </c>
      <c r="E56" s="103" t="b">
        <v>1</v>
      </c>
    </row>
    <row r="57" spans="1:5" ht="14.65" x14ac:dyDescent="0.45">
      <c r="A57" s="90" t="s">
        <v>663</v>
      </c>
      <c r="B57" s="90" t="s">
        <v>438</v>
      </c>
      <c r="C57" s="102" t="s">
        <v>774</v>
      </c>
      <c r="D57" s="102" t="s">
        <v>775</v>
      </c>
      <c r="E57" s="103" t="b">
        <v>1</v>
      </c>
    </row>
    <row r="58" spans="1:5" ht="14.65" x14ac:dyDescent="0.45">
      <c r="A58" s="90" t="s">
        <v>663</v>
      </c>
      <c r="B58" s="90" t="s">
        <v>439</v>
      </c>
      <c r="C58" s="102" t="s">
        <v>776</v>
      </c>
      <c r="D58" s="102" t="s">
        <v>777</v>
      </c>
      <c r="E58" s="103" t="b">
        <v>1</v>
      </c>
    </row>
    <row r="59" spans="1:5" ht="14.65" x14ac:dyDescent="0.45">
      <c r="A59" s="90" t="s">
        <v>663</v>
      </c>
      <c r="B59" s="90" t="s">
        <v>440</v>
      </c>
      <c r="C59" s="102" t="s">
        <v>778</v>
      </c>
      <c r="D59" s="102" t="s">
        <v>779</v>
      </c>
      <c r="E59" s="103" t="b">
        <v>1</v>
      </c>
    </row>
    <row r="60" spans="1:5" ht="14.65" x14ac:dyDescent="0.45">
      <c r="A60" s="90" t="s">
        <v>663</v>
      </c>
      <c r="B60" s="90" t="s">
        <v>441</v>
      </c>
      <c r="C60" s="102" t="s">
        <v>780</v>
      </c>
      <c r="D60" s="102" t="s">
        <v>781</v>
      </c>
      <c r="E60" s="103" t="b">
        <v>1</v>
      </c>
    </row>
    <row r="61" spans="1:5" ht="14.65" x14ac:dyDescent="0.45">
      <c r="A61" s="90" t="s">
        <v>663</v>
      </c>
      <c r="B61" s="90" t="s">
        <v>442</v>
      </c>
      <c r="C61" s="102" t="s">
        <v>782</v>
      </c>
      <c r="D61" s="102" t="s">
        <v>783</v>
      </c>
      <c r="E61" s="103" t="b">
        <v>1</v>
      </c>
    </row>
    <row r="62" spans="1:5" ht="14.65" x14ac:dyDescent="0.45">
      <c r="A62" s="90" t="s">
        <v>663</v>
      </c>
      <c r="B62" s="90" t="s">
        <v>443</v>
      </c>
      <c r="C62" s="102" t="s">
        <v>784</v>
      </c>
      <c r="D62" s="102" t="s">
        <v>785</v>
      </c>
      <c r="E62" s="103" t="b">
        <v>1</v>
      </c>
    </row>
    <row r="63" spans="1:5" ht="14.65" x14ac:dyDescent="0.45">
      <c r="A63" s="90" t="s">
        <v>663</v>
      </c>
      <c r="B63" s="90" t="s">
        <v>444</v>
      </c>
      <c r="C63" s="102" t="s">
        <v>786</v>
      </c>
      <c r="D63" s="102" t="s">
        <v>787</v>
      </c>
      <c r="E63" s="103" t="b">
        <v>1</v>
      </c>
    </row>
    <row r="64" spans="1:5" ht="14.65" x14ac:dyDescent="0.45">
      <c r="A64" s="90" t="s">
        <v>663</v>
      </c>
      <c r="B64" s="90" t="s">
        <v>445</v>
      </c>
      <c r="C64" s="102" t="s">
        <v>788</v>
      </c>
      <c r="D64" s="102" t="s">
        <v>789</v>
      </c>
      <c r="E64" s="103" t="b">
        <v>1</v>
      </c>
    </row>
    <row r="65" spans="1:5" ht="14.65" x14ac:dyDescent="0.45">
      <c r="A65" s="90" t="s">
        <v>663</v>
      </c>
      <c r="B65" s="90" t="s">
        <v>447</v>
      </c>
      <c r="C65" s="102" t="s">
        <v>790</v>
      </c>
      <c r="D65" s="102" t="s">
        <v>791</v>
      </c>
      <c r="E65" s="103" t="b">
        <v>1</v>
      </c>
    </row>
    <row r="66" spans="1:5" ht="14.65" x14ac:dyDescent="0.45">
      <c r="A66" s="90" t="s">
        <v>663</v>
      </c>
      <c r="B66" s="90" t="s">
        <v>448</v>
      </c>
      <c r="C66" s="102" t="s">
        <v>792</v>
      </c>
      <c r="D66" s="102" t="s">
        <v>793</v>
      </c>
      <c r="E66" s="103" t="b">
        <v>1</v>
      </c>
    </row>
    <row r="67" spans="1:5" ht="14.65" x14ac:dyDescent="0.45">
      <c r="A67" s="90" t="s">
        <v>663</v>
      </c>
      <c r="B67" s="90" t="s">
        <v>449</v>
      </c>
      <c r="C67" s="102" t="s">
        <v>794</v>
      </c>
      <c r="D67" s="102" t="s">
        <v>795</v>
      </c>
      <c r="E67" s="103" t="b">
        <v>1</v>
      </c>
    </row>
    <row r="68" spans="1:5" ht="14.65" x14ac:dyDescent="0.45">
      <c r="A68" s="90" t="s">
        <v>663</v>
      </c>
      <c r="B68" s="90" t="s">
        <v>450</v>
      </c>
      <c r="C68" s="102" t="s">
        <v>796</v>
      </c>
      <c r="D68" s="102" t="s">
        <v>797</v>
      </c>
      <c r="E68" s="103" t="b">
        <v>1</v>
      </c>
    </row>
    <row r="69" spans="1:5" ht="14.65" x14ac:dyDescent="0.45">
      <c r="A69" s="90" t="s">
        <v>663</v>
      </c>
      <c r="B69" s="90" t="s">
        <v>451</v>
      </c>
      <c r="C69" s="102" t="s">
        <v>798</v>
      </c>
      <c r="D69" s="102" t="s">
        <v>799</v>
      </c>
      <c r="E69" s="103" t="b">
        <v>1</v>
      </c>
    </row>
    <row r="70" spans="1:5" ht="14.65" x14ac:dyDescent="0.45">
      <c r="A70" s="90" t="s">
        <v>663</v>
      </c>
      <c r="B70" s="90" t="s">
        <v>452</v>
      </c>
      <c r="C70" s="102" t="s">
        <v>800</v>
      </c>
      <c r="D70" s="102" t="s">
        <v>801</v>
      </c>
      <c r="E70" s="103" t="b">
        <v>1</v>
      </c>
    </row>
    <row r="71" spans="1:5" ht="14.65" x14ac:dyDescent="0.45">
      <c r="A71" s="90" t="s">
        <v>663</v>
      </c>
      <c r="B71" s="90" t="s">
        <v>454</v>
      </c>
      <c r="C71" s="102" t="s">
        <v>802</v>
      </c>
      <c r="D71" s="102" t="s">
        <v>803</v>
      </c>
      <c r="E71" s="103" t="b">
        <v>1</v>
      </c>
    </row>
    <row r="72" spans="1:5" ht="14.65" x14ac:dyDescent="0.45">
      <c r="A72" s="90" t="s">
        <v>663</v>
      </c>
      <c r="B72" s="90" t="s">
        <v>455</v>
      </c>
      <c r="C72" s="102" t="s">
        <v>804</v>
      </c>
      <c r="D72" s="102" t="s">
        <v>805</v>
      </c>
      <c r="E72" s="103" t="b">
        <v>1</v>
      </c>
    </row>
    <row r="73" spans="1:5" ht="14.65" x14ac:dyDescent="0.45">
      <c r="A73" s="90" t="s">
        <v>663</v>
      </c>
      <c r="B73" s="90" t="s">
        <v>456</v>
      </c>
      <c r="C73" s="102" t="s">
        <v>806</v>
      </c>
      <c r="D73" s="102" t="s">
        <v>807</v>
      </c>
      <c r="E73" s="103" t="b">
        <v>1</v>
      </c>
    </row>
    <row r="74" spans="1:5" ht="14.65" x14ac:dyDescent="0.45">
      <c r="A74" s="90" t="s">
        <v>663</v>
      </c>
      <c r="B74" s="90" t="s">
        <v>457</v>
      </c>
      <c r="C74" s="102" t="s">
        <v>808</v>
      </c>
      <c r="D74" s="102" t="s">
        <v>809</v>
      </c>
      <c r="E74" s="103" t="b">
        <v>1</v>
      </c>
    </row>
    <row r="75" spans="1:5" ht="14.65" x14ac:dyDescent="0.45">
      <c r="A75" s="90" t="s">
        <v>663</v>
      </c>
      <c r="B75" s="90" t="s">
        <v>458</v>
      </c>
      <c r="C75" s="102" t="s">
        <v>810</v>
      </c>
      <c r="D75" s="102" t="s">
        <v>811</v>
      </c>
      <c r="E75" s="103" t="b">
        <v>1</v>
      </c>
    </row>
    <row r="76" spans="1:5" ht="14.65" x14ac:dyDescent="0.45">
      <c r="A76" s="90" t="s">
        <v>663</v>
      </c>
      <c r="B76" s="90" t="s">
        <v>459</v>
      </c>
      <c r="C76" s="102" t="s">
        <v>812</v>
      </c>
      <c r="D76" s="102" t="s">
        <v>813</v>
      </c>
      <c r="E76" s="103" t="b">
        <v>1</v>
      </c>
    </row>
    <row r="77" spans="1:5" ht="14.65" x14ac:dyDescent="0.45">
      <c r="A77" s="90" t="s">
        <v>663</v>
      </c>
      <c r="B77" s="90" t="s">
        <v>460</v>
      </c>
      <c r="C77" s="102" t="s">
        <v>814</v>
      </c>
      <c r="D77" s="102" t="s">
        <v>815</v>
      </c>
      <c r="E77" s="103" t="b">
        <v>1</v>
      </c>
    </row>
    <row r="78" spans="1:5" ht="14.65" x14ac:dyDescent="0.45">
      <c r="A78" s="90" t="s">
        <v>663</v>
      </c>
      <c r="B78" s="90" t="s">
        <v>461</v>
      </c>
      <c r="C78" s="102" t="s">
        <v>816</v>
      </c>
      <c r="D78" s="102" t="s">
        <v>817</v>
      </c>
      <c r="E78" s="103" t="b">
        <v>1</v>
      </c>
    </row>
    <row r="79" spans="1:5" ht="14.65" x14ac:dyDescent="0.45">
      <c r="A79" s="90" t="s">
        <v>663</v>
      </c>
      <c r="B79" s="90" t="s">
        <v>462</v>
      </c>
      <c r="C79" s="102" t="s">
        <v>818</v>
      </c>
      <c r="D79" s="102" t="s">
        <v>819</v>
      </c>
      <c r="E79" s="103" t="b">
        <v>1</v>
      </c>
    </row>
    <row r="80" spans="1:5" ht="14.65" x14ac:dyDescent="0.45">
      <c r="A80" s="90" t="s">
        <v>663</v>
      </c>
      <c r="B80" s="90" t="s">
        <v>463</v>
      </c>
      <c r="C80" s="102" t="s">
        <v>820</v>
      </c>
      <c r="D80" s="102" t="s">
        <v>821</v>
      </c>
      <c r="E80" s="103" t="b">
        <v>1</v>
      </c>
    </row>
    <row r="81" spans="1:5" ht="14.65" x14ac:dyDescent="0.45">
      <c r="A81" s="90" t="s">
        <v>663</v>
      </c>
      <c r="B81" s="90" t="s">
        <v>464</v>
      </c>
      <c r="C81" s="102" t="s">
        <v>822</v>
      </c>
      <c r="D81" s="102" t="s">
        <v>823</v>
      </c>
      <c r="E81" s="103" t="b">
        <v>1</v>
      </c>
    </row>
    <row r="82" spans="1:5" ht="14.65" x14ac:dyDescent="0.45">
      <c r="A82" s="90" t="s">
        <v>663</v>
      </c>
      <c r="B82" s="90" t="s">
        <v>465</v>
      </c>
      <c r="C82" s="102" t="s">
        <v>824</v>
      </c>
      <c r="D82" s="102" t="s">
        <v>825</v>
      </c>
      <c r="E82" s="103" t="b">
        <v>1</v>
      </c>
    </row>
    <row r="83" spans="1:5" ht="14.65" x14ac:dyDescent="0.45">
      <c r="A83" s="90" t="s">
        <v>663</v>
      </c>
      <c r="B83" s="90" t="s">
        <v>466</v>
      </c>
      <c r="C83" s="102" t="s">
        <v>826</v>
      </c>
      <c r="D83" s="102" t="s">
        <v>827</v>
      </c>
      <c r="E83" s="103" t="b">
        <v>1</v>
      </c>
    </row>
    <row r="84" spans="1:5" ht="14.65" x14ac:dyDescent="0.45">
      <c r="A84" s="90" t="s">
        <v>663</v>
      </c>
      <c r="B84" s="90" t="s">
        <v>467</v>
      </c>
      <c r="C84" s="102" t="s">
        <v>828</v>
      </c>
      <c r="D84" s="102" t="s">
        <v>829</v>
      </c>
      <c r="E84" s="103" t="b">
        <v>1</v>
      </c>
    </row>
    <row r="85" spans="1:5" ht="14.65" x14ac:dyDescent="0.45">
      <c r="A85" s="90" t="s">
        <v>663</v>
      </c>
      <c r="B85" s="90" t="s">
        <v>469</v>
      </c>
      <c r="C85" s="102" t="s">
        <v>830</v>
      </c>
      <c r="D85" s="102" t="s">
        <v>831</v>
      </c>
      <c r="E85" s="103" t="b">
        <v>1</v>
      </c>
    </row>
    <row r="86" spans="1:5" ht="14.65" x14ac:dyDescent="0.45">
      <c r="A86" s="90" t="s">
        <v>663</v>
      </c>
      <c r="B86" s="90" t="s">
        <v>470</v>
      </c>
      <c r="C86" s="102" t="s">
        <v>832</v>
      </c>
      <c r="D86" s="102" t="s">
        <v>833</v>
      </c>
      <c r="E86" s="103" t="b">
        <v>1</v>
      </c>
    </row>
    <row r="87" spans="1:5" ht="14.65" x14ac:dyDescent="0.45">
      <c r="A87" s="90" t="s">
        <v>663</v>
      </c>
      <c r="B87" s="90" t="s">
        <v>471</v>
      </c>
      <c r="C87" s="102" t="s">
        <v>834</v>
      </c>
      <c r="D87" s="102" t="s">
        <v>835</v>
      </c>
      <c r="E87" s="103" t="b">
        <v>1</v>
      </c>
    </row>
    <row r="88" spans="1:5" ht="14.65" x14ac:dyDescent="0.45">
      <c r="A88" s="90" t="s">
        <v>663</v>
      </c>
      <c r="B88" s="90" t="s">
        <v>472</v>
      </c>
      <c r="C88" s="102" t="s">
        <v>836</v>
      </c>
      <c r="D88" s="102" t="s">
        <v>837</v>
      </c>
      <c r="E88" s="103" t="b">
        <v>1</v>
      </c>
    </row>
    <row r="89" spans="1:5" ht="14.65" x14ac:dyDescent="0.45">
      <c r="A89" s="90" t="s">
        <v>663</v>
      </c>
      <c r="B89" s="90" t="s">
        <v>473</v>
      </c>
      <c r="C89" s="102" t="s">
        <v>838</v>
      </c>
      <c r="D89" s="102" t="s">
        <v>839</v>
      </c>
      <c r="E89" s="103" t="b">
        <v>1</v>
      </c>
    </row>
    <row r="90" spans="1:5" ht="14.65" x14ac:dyDescent="0.45">
      <c r="A90" s="90" t="s">
        <v>663</v>
      </c>
      <c r="B90" s="90" t="s">
        <v>474</v>
      </c>
      <c r="C90" s="102" t="s">
        <v>840</v>
      </c>
      <c r="D90" s="102" t="s">
        <v>841</v>
      </c>
      <c r="E90" s="103" t="b">
        <v>1</v>
      </c>
    </row>
    <row r="91" spans="1:5" ht="14.65" x14ac:dyDescent="0.45">
      <c r="A91" s="90" t="s">
        <v>663</v>
      </c>
      <c r="B91" s="90" t="s">
        <v>475</v>
      </c>
      <c r="C91" s="102" t="s">
        <v>842</v>
      </c>
      <c r="D91" s="102" t="s">
        <v>843</v>
      </c>
      <c r="E91" s="103" t="b">
        <v>1</v>
      </c>
    </row>
    <row r="92" spans="1:5" ht="14.65" x14ac:dyDescent="0.45">
      <c r="A92" s="90" t="s">
        <v>663</v>
      </c>
      <c r="B92" s="90" t="s">
        <v>476</v>
      </c>
      <c r="C92" s="102" t="s">
        <v>844</v>
      </c>
      <c r="D92" s="102" t="s">
        <v>845</v>
      </c>
      <c r="E92" s="103" t="b">
        <v>1</v>
      </c>
    </row>
    <row r="93" spans="1:5" ht="14.65" x14ac:dyDescent="0.45">
      <c r="A93" s="90" t="s">
        <v>663</v>
      </c>
      <c r="B93" s="90" t="s">
        <v>477</v>
      </c>
      <c r="C93" s="102" t="s">
        <v>846</v>
      </c>
      <c r="D93" s="102" t="s">
        <v>847</v>
      </c>
      <c r="E93" s="103" t="b">
        <v>1</v>
      </c>
    </row>
    <row r="94" spans="1:5" ht="14.65" x14ac:dyDescent="0.45">
      <c r="A94" s="90" t="s">
        <v>663</v>
      </c>
      <c r="B94" s="90" t="s">
        <v>478</v>
      </c>
      <c r="C94" s="102" t="s">
        <v>848</v>
      </c>
      <c r="D94" s="102" t="s">
        <v>849</v>
      </c>
      <c r="E94" s="103" t="b">
        <v>1</v>
      </c>
    </row>
    <row r="95" spans="1:5" ht="14.65" x14ac:dyDescent="0.45">
      <c r="A95" s="90" t="s">
        <v>663</v>
      </c>
      <c r="B95" s="90" t="s">
        <v>479</v>
      </c>
      <c r="C95" s="102" t="s">
        <v>850</v>
      </c>
      <c r="D95" s="102" t="s">
        <v>851</v>
      </c>
      <c r="E95" s="103" t="b">
        <v>1</v>
      </c>
    </row>
    <row r="96" spans="1:5" ht="14.65" x14ac:dyDescent="0.45">
      <c r="A96" s="90" t="s">
        <v>663</v>
      </c>
      <c r="B96" s="90" t="s">
        <v>480</v>
      </c>
      <c r="C96" s="102" t="s">
        <v>852</v>
      </c>
      <c r="D96" s="102" t="s">
        <v>853</v>
      </c>
      <c r="E96" s="103" t="b">
        <v>1</v>
      </c>
    </row>
    <row r="97" spans="1:5" ht="14.65" x14ac:dyDescent="0.45">
      <c r="A97" s="90" t="s">
        <v>663</v>
      </c>
      <c r="B97" s="90" t="s">
        <v>481</v>
      </c>
      <c r="C97" s="102" t="s">
        <v>854</v>
      </c>
      <c r="D97" s="102" t="s">
        <v>855</v>
      </c>
      <c r="E97" s="103" t="b">
        <v>1</v>
      </c>
    </row>
    <row r="98" spans="1:5" ht="14.65" x14ac:dyDescent="0.45">
      <c r="A98" s="90" t="s">
        <v>663</v>
      </c>
      <c r="B98" s="90" t="s">
        <v>482</v>
      </c>
      <c r="C98" s="102" t="s">
        <v>856</v>
      </c>
      <c r="D98" s="102" t="s">
        <v>857</v>
      </c>
      <c r="E98" s="103" t="b">
        <v>1</v>
      </c>
    </row>
    <row r="99" spans="1:5" ht="14.65" x14ac:dyDescent="0.45">
      <c r="A99" s="90" t="s">
        <v>663</v>
      </c>
      <c r="B99" s="90" t="s">
        <v>484</v>
      </c>
      <c r="C99" s="102" t="s">
        <v>858</v>
      </c>
      <c r="D99" s="102" t="s">
        <v>859</v>
      </c>
      <c r="E99" s="103" t="b">
        <v>1</v>
      </c>
    </row>
    <row r="100" spans="1:5" ht="14.65" x14ac:dyDescent="0.45">
      <c r="A100" s="90" t="s">
        <v>663</v>
      </c>
      <c r="B100" s="90" t="s">
        <v>485</v>
      </c>
      <c r="C100" s="102" t="s">
        <v>860</v>
      </c>
      <c r="D100" s="102" t="s">
        <v>861</v>
      </c>
      <c r="E100" s="103" t="b">
        <v>1</v>
      </c>
    </row>
    <row r="101" spans="1:5" ht="14.65" x14ac:dyDescent="0.45">
      <c r="A101" s="90" t="s">
        <v>663</v>
      </c>
      <c r="B101" s="90" t="s">
        <v>486</v>
      </c>
      <c r="C101" s="102" t="s">
        <v>862</v>
      </c>
      <c r="D101" s="102" t="s">
        <v>863</v>
      </c>
      <c r="E101" s="103" t="b">
        <v>1</v>
      </c>
    </row>
    <row r="102" spans="1:5" ht="14.65" x14ac:dyDescent="0.45">
      <c r="A102" s="90" t="s">
        <v>663</v>
      </c>
      <c r="B102" s="90" t="s">
        <v>487</v>
      </c>
      <c r="C102" s="102" t="s">
        <v>864</v>
      </c>
      <c r="D102" s="102" t="s">
        <v>865</v>
      </c>
      <c r="E102" s="103" t="b">
        <v>1</v>
      </c>
    </row>
    <row r="103" spans="1:5" ht="14.65" x14ac:dyDescent="0.45">
      <c r="A103" s="90" t="s">
        <v>663</v>
      </c>
      <c r="B103" s="90" t="s">
        <v>488</v>
      </c>
      <c r="C103" s="102" t="s">
        <v>866</v>
      </c>
      <c r="D103" s="102" t="s">
        <v>867</v>
      </c>
      <c r="E103" s="103" t="b">
        <v>1</v>
      </c>
    </row>
    <row r="104" spans="1:5" ht="14.65" x14ac:dyDescent="0.45">
      <c r="A104" s="90" t="s">
        <v>663</v>
      </c>
      <c r="B104" s="90" t="s">
        <v>489</v>
      </c>
      <c r="C104" s="102" t="s">
        <v>868</v>
      </c>
      <c r="D104" s="102" t="s">
        <v>869</v>
      </c>
      <c r="E104" s="103" t="b">
        <v>1</v>
      </c>
    </row>
    <row r="105" spans="1:5" ht="14.65" x14ac:dyDescent="0.45">
      <c r="A105" s="90" t="s">
        <v>663</v>
      </c>
      <c r="B105" s="90" t="s">
        <v>490</v>
      </c>
      <c r="C105" s="102" t="s">
        <v>870</v>
      </c>
      <c r="D105" s="102" t="s">
        <v>871</v>
      </c>
      <c r="E105" s="103" t="b">
        <v>1</v>
      </c>
    </row>
    <row r="106" spans="1:5" ht="14.65" x14ac:dyDescent="0.45">
      <c r="A106" s="90" t="s">
        <v>663</v>
      </c>
      <c r="B106" s="90" t="s">
        <v>491</v>
      </c>
      <c r="C106" s="102" t="s">
        <v>872</v>
      </c>
      <c r="D106" s="102" t="s">
        <v>873</v>
      </c>
      <c r="E106" s="103" t="b">
        <v>1</v>
      </c>
    </row>
    <row r="107" spans="1:5" ht="14.65" x14ac:dyDescent="0.45">
      <c r="A107" s="90" t="s">
        <v>663</v>
      </c>
      <c r="B107" s="90" t="s">
        <v>493</v>
      </c>
      <c r="C107" s="102" t="s">
        <v>874</v>
      </c>
      <c r="D107" s="102" t="s">
        <v>875</v>
      </c>
      <c r="E107" s="103" t="b">
        <v>1</v>
      </c>
    </row>
    <row r="108" spans="1:5" ht="14.65" x14ac:dyDescent="0.45">
      <c r="A108" s="90" t="s">
        <v>663</v>
      </c>
      <c r="B108" s="90" t="s">
        <v>494</v>
      </c>
      <c r="C108" s="102" t="s">
        <v>876</v>
      </c>
      <c r="D108" s="102" t="s">
        <v>877</v>
      </c>
      <c r="E108" s="103" t="b">
        <v>1</v>
      </c>
    </row>
    <row r="109" spans="1:5" ht="14.65" x14ac:dyDescent="0.45">
      <c r="A109" s="90" t="s">
        <v>663</v>
      </c>
      <c r="B109" s="90" t="s">
        <v>495</v>
      </c>
      <c r="C109" s="102" t="s">
        <v>878</v>
      </c>
      <c r="D109" s="102" t="s">
        <v>879</v>
      </c>
      <c r="E109" s="103" t="b">
        <v>1</v>
      </c>
    </row>
    <row r="110" spans="1:5" ht="14.65" x14ac:dyDescent="0.45">
      <c r="A110" s="90" t="s">
        <v>663</v>
      </c>
      <c r="B110" s="90" t="s">
        <v>496</v>
      </c>
      <c r="C110" s="102" t="s">
        <v>880</v>
      </c>
      <c r="D110" s="102" t="s">
        <v>881</v>
      </c>
      <c r="E110" s="103" t="b">
        <v>1</v>
      </c>
    </row>
    <row r="111" spans="1:5" ht="14.65" x14ac:dyDescent="0.45">
      <c r="A111" s="90" t="s">
        <v>663</v>
      </c>
      <c r="B111" s="90" t="s">
        <v>497</v>
      </c>
      <c r="C111" s="102" t="s">
        <v>882</v>
      </c>
      <c r="D111" s="102" t="s">
        <v>883</v>
      </c>
      <c r="E111" s="103" t="b">
        <v>1</v>
      </c>
    </row>
    <row r="112" spans="1:5" ht="14.65" x14ac:dyDescent="0.45">
      <c r="A112" s="90" t="s">
        <v>663</v>
      </c>
      <c r="B112" s="90" t="s">
        <v>498</v>
      </c>
      <c r="C112" s="102" t="s">
        <v>884</v>
      </c>
      <c r="D112" s="102" t="s">
        <v>885</v>
      </c>
      <c r="E112" s="103" t="b">
        <v>1</v>
      </c>
    </row>
    <row r="113" spans="1:5" ht="14.65" x14ac:dyDescent="0.45">
      <c r="A113" s="90" t="s">
        <v>663</v>
      </c>
      <c r="B113" s="90" t="s">
        <v>500</v>
      </c>
      <c r="C113" s="102" t="s">
        <v>886</v>
      </c>
      <c r="D113" s="102" t="s">
        <v>887</v>
      </c>
      <c r="E113" s="103" t="b">
        <v>1</v>
      </c>
    </row>
    <row r="114" spans="1:5" ht="14.65" x14ac:dyDescent="0.45">
      <c r="A114" s="90" t="s">
        <v>663</v>
      </c>
      <c r="B114" s="90" t="s">
        <v>501</v>
      </c>
      <c r="C114" s="102" t="s">
        <v>888</v>
      </c>
      <c r="D114" s="102" t="s">
        <v>889</v>
      </c>
      <c r="E114" s="103" t="b">
        <v>1</v>
      </c>
    </row>
    <row r="115" spans="1:5" ht="14.65" x14ac:dyDescent="0.45">
      <c r="A115" s="90" t="s">
        <v>663</v>
      </c>
      <c r="B115" s="90" t="s">
        <v>502</v>
      </c>
      <c r="C115" s="102" t="s">
        <v>890</v>
      </c>
      <c r="D115" s="102" t="s">
        <v>891</v>
      </c>
      <c r="E115" s="103" t="b">
        <v>1</v>
      </c>
    </row>
    <row r="116" spans="1:5" ht="14.65" x14ac:dyDescent="0.45">
      <c r="A116" s="90" t="s">
        <v>663</v>
      </c>
      <c r="B116" s="90" t="s">
        <v>503</v>
      </c>
      <c r="C116" s="102" t="s">
        <v>892</v>
      </c>
      <c r="D116" s="102" t="s">
        <v>893</v>
      </c>
      <c r="E116" s="103" t="b">
        <v>1</v>
      </c>
    </row>
    <row r="117" spans="1:5" ht="14.65" x14ac:dyDescent="0.45">
      <c r="A117" s="90" t="s">
        <v>663</v>
      </c>
      <c r="B117" s="90" t="s">
        <v>504</v>
      </c>
      <c r="C117" s="102" t="s">
        <v>894</v>
      </c>
      <c r="D117" s="102" t="s">
        <v>895</v>
      </c>
      <c r="E117" s="103" t="b">
        <v>1</v>
      </c>
    </row>
    <row r="118" spans="1:5" ht="14.65" x14ac:dyDescent="0.45">
      <c r="A118" s="90" t="s">
        <v>663</v>
      </c>
      <c r="B118" s="90" t="s">
        <v>505</v>
      </c>
      <c r="C118" s="102" t="s">
        <v>896</v>
      </c>
      <c r="D118" s="102" t="s">
        <v>897</v>
      </c>
      <c r="E118" s="103" t="b">
        <v>1</v>
      </c>
    </row>
    <row r="119" spans="1:5" ht="14.65" x14ac:dyDescent="0.45">
      <c r="A119" s="90" t="s">
        <v>663</v>
      </c>
      <c r="B119" s="90" t="s">
        <v>506</v>
      </c>
      <c r="C119" s="102" t="s">
        <v>898</v>
      </c>
      <c r="D119" s="102" t="s">
        <v>899</v>
      </c>
      <c r="E119" s="103" t="b">
        <v>1</v>
      </c>
    </row>
    <row r="120" spans="1:5" ht="14.65" x14ac:dyDescent="0.45">
      <c r="A120" s="90" t="s">
        <v>663</v>
      </c>
      <c r="B120" s="90" t="s">
        <v>507</v>
      </c>
      <c r="C120" s="102" t="s">
        <v>900</v>
      </c>
      <c r="D120" s="102" t="s">
        <v>901</v>
      </c>
      <c r="E120" s="103" t="b">
        <v>1</v>
      </c>
    </row>
    <row r="121" spans="1:5" ht="14.65" x14ac:dyDescent="0.45">
      <c r="A121" s="90" t="s">
        <v>663</v>
      </c>
      <c r="B121" s="90" t="s">
        <v>508</v>
      </c>
      <c r="C121" s="102" t="s">
        <v>902</v>
      </c>
      <c r="D121" s="102" t="s">
        <v>903</v>
      </c>
      <c r="E121" s="103" t="b">
        <v>1</v>
      </c>
    </row>
    <row r="122" spans="1:5" ht="14.65" x14ac:dyDescent="0.45">
      <c r="A122" s="90" t="s">
        <v>663</v>
      </c>
      <c r="B122" s="90" t="s">
        <v>509</v>
      </c>
      <c r="C122" s="102" t="s">
        <v>904</v>
      </c>
      <c r="D122" s="102" t="s">
        <v>905</v>
      </c>
      <c r="E122" s="103" t="b">
        <v>1</v>
      </c>
    </row>
    <row r="123" spans="1:5" ht="14.65" x14ac:dyDescent="0.45">
      <c r="A123" s="90" t="s">
        <v>663</v>
      </c>
      <c r="B123" s="90" t="s">
        <v>510</v>
      </c>
      <c r="C123" s="102" t="s">
        <v>906</v>
      </c>
      <c r="D123" s="102" t="s">
        <v>907</v>
      </c>
      <c r="E123" s="103" t="b">
        <v>1</v>
      </c>
    </row>
    <row r="124" spans="1:5" ht="14.65" x14ac:dyDescent="0.45">
      <c r="A124" s="90" t="s">
        <v>663</v>
      </c>
      <c r="B124" s="90" t="s">
        <v>511</v>
      </c>
      <c r="C124" s="102" t="s">
        <v>908</v>
      </c>
      <c r="D124" s="102" t="s">
        <v>909</v>
      </c>
      <c r="E124" s="103" t="b">
        <v>1</v>
      </c>
    </row>
    <row r="125" spans="1:5" ht="14.65" x14ac:dyDescent="0.45">
      <c r="A125" s="90" t="s">
        <v>663</v>
      </c>
      <c r="B125" s="90" t="s">
        <v>512</v>
      </c>
      <c r="C125" s="102" t="s">
        <v>910</v>
      </c>
      <c r="D125" s="102" t="s">
        <v>911</v>
      </c>
      <c r="E125" s="103" t="b">
        <v>1</v>
      </c>
    </row>
    <row r="126" spans="1:5" ht="14.65" x14ac:dyDescent="0.45">
      <c r="A126" s="90" t="s">
        <v>518</v>
      </c>
      <c r="B126" s="90" t="s">
        <v>519</v>
      </c>
      <c r="C126" s="102" t="s">
        <v>912</v>
      </c>
      <c r="D126" s="102" t="s">
        <v>913</v>
      </c>
      <c r="E126" s="103" t="b">
        <v>1</v>
      </c>
    </row>
    <row r="127" spans="1:5" ht="14.65" x14ac:dyDescent="0.45">
      <c r="A127" s="90" t="s">
        <v>518</v>
      </c>
      <c r="B127" s="90" t="s">
        <v>521</v>
      </c>
      <c r="C127" s="102" t="s">
        <v>914</v>
      </c>
      <c r="D127" s="102" t="s">
        <v>915</v>
      </c>
      <c r="E127" s="103" t="b">
        <v>1</v>
      </c>
    </row>
    <row r="128" spans="1:5" ht="14.65" x14ac:dyDescent="0.45">
      <c r="A128" s="90" t="s">
        <v>518</v>
      </c>
      <c r="B128" s="90" t="s">
        <v>522</v>
      </c>
      <c r="C128" s="102" t="s">
        <v>916</v>
      </c>
      <c r="D128" s="102" t="s">
        <v>917</v>
      </c>
      <c r="E128" s="103" t="b">
        <v>1</v>
      </c>
    </row>
    <row r="129" spans="1:5" ht="14.65" x14ac:dyDescent="0.45">
      <c r="A129" s="90" t="s">
        <v>518</v>
      </c>
      <c r="B129" s="90" t="s">
        <v>523</v>
      </c>
      <c r="C129" s="102" t="s">
        <v>918</v>
      </c>
      <c r="D129" s="102" t="s">
        <v>919</v>
      </c>
      <c r="E129" s="103" t="b">
        <v>1</v>
      </c>
    </row>
    <row r="130" spans="1:5" ht="14.65" x14ac:dyDescent="0.45">
      <c r="A130" s="90" t="s">
        <v>518</v>
      </c>
      <c r="B130" s="90" t="s">
        <v>524</v>
      </c>
      <c r="C130" s="102" t="s">
        <v>920</v>
      </c>
      <c r="D130" s="102" t="s">
        <v>921</v>
      </c>
      <c r="E130" s="103" t="b">
        <v>1</v>
      </c>
    </row>
    <row r="131" spans="1:5" ht="14.65" x14ac:dyDescent="0.45">
      <c r="A131" s="90" t="s">
        <v>518</v>
      </c>
      <c r="B131" s="90" t="s">
        <v>525</v>
      </c>
      <c r="C131" s="102" t="s">
        <v>922</v>
      </c>
      <c r="D131" s="102" t="s">
        <v>923</v>
      </c>
      <c r="E131" s="103" t="b">
        <v>1</v>
      </c>
    </row>
    <row r="132" spans="1:5" ht="14.65" x14ac:dyDescent="0.45">
      <c r="A132" s="90" t="s">
        <v>518</v>
      </c>
      <c r="B132" s="90" t="s">
        <v>526</v>
      </c>
      <c r="C132" s="102" t="s">
        <v>924</v>
      </c>
      <c r="D132" s="102" t="s">
        <v>925</v>
      </c>
      <c r="E132" s="103" t="b">
        <v>1</v>
      </c>
    </row>
    <row r="133" spans="1:5" ht="14.65" x14ac:dyDescent="0.45">
      <c r="A133" s="90" t="s">
        <v>518</v>
      </c>
      <c r="B133" s="90" t="s">
        <v>527</v>
      </c>
      <c r="C133" s="102" t="s">
        <v>926</v>
      </c>
      <c r="D133" s="102" t="s">
        <v>927</v>
      </c>
      <c r="E133" s="103" t="b">
        <v>1</v>
      </c>
    </row>
    <row r="134" spans="1:5" ht="14.65" x14ac:dyDescent="0.45">
      <c r="A134" s="90" t="s">
        <v>518</v>
      </c>
      <c r="B134" s="90" t="s">
        <v>528</v>
      </c>
      <c r="C134" s="102" t="s">
        <v>928</v>
      </c>
      <c r="D134" s="102" t="s">
        <v>929</v>
      </c>
      <c r="E134" s="103" t="b">
        <v>1</v>
      </c>
    </row>
    <row r="135" spans="1:5" ht="14.65" x14ac:dyDescent="0.45">
      <c r="A135" s="90" t="s">
        <v>518</v>
      </c>
      <c r="B135" s="90" t="s">
        <v>529</v>
      </c>
      <c r="C135" s="102" t="s">
        <v>930</v>
      </c>
      <c r="D135" s="102" t="s">
        <v>931</v>
      </c>
      <c r="E135" s="103" t="b">
        <v>1</v>
      </c>
    </row>
    <row r="136" spans="1:5" ht="14.65" x14ac:dyDescent="0.45">
      <c r="A136" s="90" t="s">
        <v>518</v>
      </c>
      <c r="B136" s="90" t="s">
        <v>530</v>
      </c>
      <c r="C136" s="102" t="s">
        <v>932</v>
      </c>
      <c r="D136" s="102" t="s">
        <v>933</v>
      </c>
      <c r="E136" s="103" t="b">
        <v>1</v>
      </c>
    </row>
    <row r="137" spans="1:5" ht="14.65" x14ac:dyDescent="0.45">
      <c r="A137" s="90" t="s">
        <v>518</v>
      </c>
      <c r="B137" s="90" t="s">
        <v>531</v>
      </c>
      <c r="C137" s="102" t="s">
        <v>934</v>
      </c>
      <c r="D137" s="102" t="s">
        <v>935</v>
      </c>
      <c r="E137" s="103" t="b">
        <v>1</v>
      </c>
    </row>
    <row r="138" spans="1:5" ht="14.65" x14ac:dyDescent="0.45">
      <c r="A138" s="90" t="s">
        <v>518</v>
      </c>
      <c r="B138" s="90" t="s">
        <v>532</v>
      </c>
      <c r="C138" s="102" t="s">
        <v>936</v>
      </c>
      <c r="D138" s="102" t="s">
        <v>937</v>
      </c>
      <c r="E138" s="103" t="b">
        <v>1</v>
      </c>
    </row>
    <row r="139" spans="1:5" ht="14.65" x14ac:dyDescent="0.45">
      <c r="A139" s="90" t="s">
        <v>518</v>
      </c>
      <c r="B139" s="90" t="s">
        <v>533</v>
      </c>
      <c r="C139" s="102" t="s">
        <v>938</v>
      </c>
      <c r="D139" s="102" t="s">
        <v>939</v>
      </c>
      <c r="E139" s="103" t="b">
        <v>1</v>
      </c>
    </row>
    <row r="140" spans="1:5" ht="14.65" x14ac:dyDescent="0.45">
      <c r="A140" s="90" t="s">
        <v>518</v>
      </c>
      <c r="B140" s="90" t="s">
        <v>534</v>
      </c>
      <c r="C140" s="102" t="s">
        <v>940</v>
      </c>
      <c r="D140" s="102" t="s">
        <v>941</v>
      </c>
      <c r="E140" s="103" t="b">
        <v>1</v>
      </c>
    </row>
    <row r="141" spans="1:5" ht="14.65" x14ac:dyDescent="0.45">
      <c r="A141" s="90" t="s">
        <v>518</v>
      </c>
      <c r="B141" s="90" t="s">
        <v>536</v>
      </c>
      <c r="C141" s="102" t="s">
        <v>942</v>
      </c>
      <c r="D141" s="102" t="s">
        <v>943</v>
      </c>
      <c r="E141" s="103" t="b">
        <v>1</v>
      </c>
    </row>
    <row r="142" spans="1:5" ht="14.65" x14ac:dyDescent="0.45">
      <c r="A142" s="90" t="s">
        <v>518</v>
      </c>
      <c r="B142" s="90" t="s">
        <v>537</v>
      </c>
      <c r="C142" s="102" t="s">
        <v>944</v>
      </c>
      <c r="D142" s="102" t="s">
        <v>945</v>
      </c>
      <c r="E142" s="103" t="b">
        <v>1</v>
      </c>
    </row>
    <row r="143" spans="1:5" ht="14.65" x14ac:dyDescent="0.45">
      <c r="A143" s="90" t="s">
        <v>518</v>
      </c>
      <c r="B143" s="90" t="s">
        <v>538</v>
      </c>
      <c r="C143" s="102" t="s">
        <v>946</v>
      </c>
      <c r="D143" s="102" t="s">
        <v>947</v>
      </c>
      <c r="E143" s="103" t="b">
        <v>1</v>
      </c>
    </row>
    <row r="144" spans="1:5" ht="14.65" x14ac:dyDescent="0.45">
      <c r="A144" s="90" t="s">
        <v>518</v>
      </c>
      <c r="B144" s="90" t="s">
        <v>539</v>
      </c>
      <c r="C144" s="102" t="s">
        <v>948</v>
      </c>
      <c r="D144" s="102" t="s">
        <v>949</v>
      </c>
      <c r="E144" s="103" t="b">
        <v>1</v>
      </c>
    </row>
    <row r="145" spans="1:5" ht="14.65" x14ac:dyDescent="0.45">
      <c r="A145" s="90" t="s">
        <v>518</v>
      </c>
      <c r="B145" s="90" t="s">
        <v>540</v>
      </c>
      <c r="C145" s="102" t="s">
        <v>950</v>
      </c>
      <c r="D145" s="102" t="s">
        <v>951</v>
      </c>
      <c r="E145" s="103" t="b">
        <v>1</v>
      </c>
    </row>
    <row r="146" spans="1:5" ht="14.65" x14ac:dyDescent="0.45">
      <c r="A146" s="90" t="s">
        <v>518</v>
      </c>
      <c r="B146" s="90" t="s">
        <v>541</v>
      </c>
      <c r="C146" s="102" t="s">
        <v>952</v>
      </c>
      <c r="D146" s="102" t="s">
        <v>953</v>
      </c>
      <c r="E146" s="103" t="b">
        <v>1</v>
      </c>
    </row>
    <row r="147" spans="1:5" ht="14.65" x14ac:dyDescent="0.45">
      <c r="A147" s="90" t="s">
        <v>518</v>
      </c>
      <c r="B147" s="90" t="s">
        <v>543</v>
      </c>
      <c r="C147" s="102" t="s">
        <v>954</v>
      </c>
      <c r="D147" s="102" t="s">
        <v>955</v>
      </c>
      <c r="E147" s="103" t="b">
        <v>1</v>
      </c>
    </row>
    <row r="148" spans="1:5" ht="14.65" x14ac:dyDescent="0.45">
      <c r="A148" s="90" t="s">
        <v>518</v>
      </c>
      <c r="B148" s="90" t="s">
        <v>544</v>
      </c>
      <c r="C148" s="102" t="s">
        <v>956</v>
      </c>
      <c r="D148" s="102" t="s">
        <v>957</v>
      </c>
      <c r="E148" s="103" t="b">
        <v>1</v>
      </c>
    </row>
    <row r="149" spans="1:5" ht="14.65" x14ac:dyDescent="0.45">
      <c r="A149" s="90" t="s">
        <v>518</v>
      </c>
      <c r="B149" s="90" t="s">
        <v>545</v>
      </c>
      <c r="C149" s="102" t="s">
        <v>958</v>
      </c>
      <c r="D149" s="102" t="s">
        <v>959</v>
      </c>
      <c r="E149" s="103" t="b">
        <v>1</v>
      </c>
    </row>
    <row r="150" spans="1:5" ht="14.65" x14ac:dyDescent="0.45">
      <c r="A150" s="90" t="s">
        <v>518</v>
      </c>
      <c r="B150" s="90" t="s">
        <v>546</v>
      </c>
      <c r="C150" s="102" t="s">
        <v>960</v>
      </c>
      <c r="D150" s="102" t="s">
        <v>961</v>
      </c>
      <c r="E150" s="103" t="b">
        <v>1</v>
      </c>
    </row>
    <row r="151" spans="1:5" ht="14.65" x14ac:dyDescent="0.45">
      <c r="A151" s="90" t="s">
        <v>518</v>
      </c>
      <c r="B151" s="90" t="s">
        <v>547</v>
      </c>
      <c r="C151" s="102" t="s">
        <v>962</v>
      </c>
      <c r="D151" s="102" t="s">
        <v>963</v>
      </c>
      <c r="E151" s="103" t="b">
        <v>1</v>
      </c>
    </row>
    <row r="152" spans="1:5" ht="14.65" x14ac:dyDescent="0.45">
      <c r="A152" s="90" t="s">
        <v>518</v>
      </c>
      <c r="B152" s="90" t="s">
        <v>548</v>
      </c>
      <c r="C152" s="102" t="s">
        <v>964</v>
      </c>
      <c r="D152" s="102" t="s">
        <v>965</v>
      </c>
      <c r="E152" s="103" t="b">
        <v>1</v>
      </c>
    </row>
    <row r="153" spans="1:5" ht="14.65" x14ac:dyDescent="0.45">
      <c r="A153" s="90" t="s">
        <v>518</v>
      </c>
      <c r="B153" s="90" t="s">
        <v>549</v>
      </c>
      <c r="C153" s="102" t="s">
        <v>966</v>
      </c>
      <c r="D153" s="102" t="s">
        <v>967</v>
      </c>
      <c r="E153" s="103" t="b">
        <v>1</v>
      </c>
    </row>
    <row r="154" spans="1:5" ht="14.65" x14ac:dyDescent="0.45">
      <c r="A154" s="90" t="s">
        <v>518</v>
      </c>
      <c r="B154" s="90" t="s">
        <v>550</v>
      </c>
      <c r="C154" s="102" t="s">
        <v>968</v>
      </c>
      <c r="D154" s="102" t="s">
        <v>969</v>
      </c>
      <c r="E154" s="103" t="b">
        <v>1</v>
      </c>
    </row>
    <row r="155" spans="1:5" ht="14.65" x14ac:dyDescent="0.45">
      <c r="A155" s="90" t="s">
        <v>518</v>
      </c>
      <c r="B155" s="90" t="s">
        <v>552</v>
      </c>
      <c r="C155" s="102" t="s">
        <v>970</v>
      </c>
      <c r="D155" s="102" t="s">
        <v>971</v>
      </c>
      <c r="E155" s="103" t="b">
        <v>1</v>
      </c>
    </row>
    <row r="156" spans="1:5" ht="14.65" x14ac:dyDescent="0.45">
      <c r="A156" s="90" t="s">
        <v>518</v>
      </c>
      <c r="B156" s="90" t="s">
        <v>553</v>
      </c>
      <c r="C156" s="102" t="s">
        <v>972</v>
      </c>
      <c r="D156" s="102" t="s">
        <v>973</v>
      </c>
      <c r="E156" s="103" t="b">
        <v>1</v>
      </c>
    </row>
    <row r="157" spans="1:5" ht="14.65" x14ac:dyDescent="0.45">
      <c r="A157" s="90" t="s">
        <v>518</v>
      </c>
      <c r="B157" s="90" t="s">
        <v>554</v>
      </c>
      <c r="C157" s="102" t="s">
        <v>974</v>
      </c>
      <c r="D157" s="102" t="s">
        <v>975</v>
      </c>
      <c r="E157" s="103" t="b">
        <v>1</v>
      </c>
    </row>
    <row r="158" spans="1:5" ht="14.65" x14ac:dyDescent="0.45">
      <c r="A158" s="90" t="s">
        <v>518</v>
      </c>
      <c r="B158" s="90" t="s">
        <v>555</v>
      </c>
      <c r="C158" s="102" t="s">
        <v>976</v>
      </c>
      <c r="D158" s="102" t="s">
        <v>977</v>
      </c>
      <c r="E158" s="103" t="b">
        <v>1</v>
      </c>
    </row>
    <row r="159" spans="1:5" ht="14.65" x14ac:dyDescent="0.45">
      <c r="A159" s="90" t="s">
        <v>518</v>
      </c>
      <c r="B159" s="90" t="s">
        <v>556</v>
      </c>
      <c r="C159" s="102" t="s">
        <v>978</v>
      </c>
      <c r="D159" s="102" t="s">
        <v>979</v>
      </c>
      <c r="E159" s="103" t="b">
        <v>1</v>
      </c>
    </row>
    <row r="160" spans="1:5" ht="14.65" x14ac:dyDescent="0.45">
      <c r="A160" s="90" t="s">
        <v>518</v>
      </c>
      <c r="B160" s="90" t="s">
        <v>557</v>
      </c>
      <c r="C160" s="102" t="s">
        <v>980</v>
      </c>
      <c r="D160" s="102" t="s">
        <v>981</v>
      </c>
      <c r="E160" s="103" t="b">
        <v>1</v>
      </c>
    </row>
    <row r="161" spans="1:5" ht="14.65" x14ac:dyDescent="0.45">
      <c r="A161" s="90" t="s">
        <v>518</v>
      </c>
      <c r="B161" s="90" t="s">
        <v>558</v>
      </c>
      <c r="C161" s="102" t="s">
        <v>982</v>
      </c>
      <c r="D161" s="102" t="s">
        <v>983</v>
      </c>
      <c r="E161" s="103" t="b">
        <v>1</v>
      </c>
    </row>
    <row r="162" spans="1:5" ht="14.65" x14ac:dyDescent="0.45">
      <c r="A162" s="90" t="s">
        <v>518</v>
      </c>
      <c r="B162" s="90" t="s">
        <v>559</v>
      </c>
      <c r="C162" s="102" t="s">
        <v>984</v>
      </c>
      <c r="D162" s="102" t="s">
        <v>985</v>
      </c>
      <c r="E162" s="103" t="b">
        <v>1</v>
      </c>
    </row>
    <row r="163" spans="1:5" ht="14.65" x14ac:dyDescent="0.45">
      <c r="A163" s="90" t="s">
        <v>518</v>
      </c>
      <c r="B163" s="90" t="s">
        <v>560</v>
      </c>
      <c r="C163" s="102" t="s">
        <v>986</v>
      </c>
      <c r="D163" s="102" t="s">
        <v>987</v>
      </c>
      <c r="E163" s="103" t="b">
        <v>1</v>
      </c>
    </row>
    <row r="164" spans="1:5" ht="14.65" x14ac:dyDescent="0.45">
      <c r="A164" s="90" t="s">
        <v>518</v>
      </c>
      <c r="B164" s="90" t="s">
        <v>561</v>
      </c>
      <c r="C164" s="102" t="s">
        <v>988</v>
      </c>
      <c r="D164" s="102" t="s">
        <v>989</v>
      </c>
      <c r="E164" s="103" t="b">
        <v>1</v>
      </c>
    </row>
    <row r="165" spans="1:5" ht="14.65" x14ac:dyDescent="0.45">
      <c r="A165" s="90" t="s">
        <v>518</v>
      </c>
      <c r="B165" s="90" t="s">
        <v>562</v>
      </c>
      <c r="C165" s="102" t="s">
        <v>990</v>
      </c>
      <c r="D165" s="102" t="s">
        <v>991</v>
      </c>
      <c r="E165" s="103" t="b">
        <v>1</v>
      </c>
    </row>
    <row r="166" spans="1:5" ht="14.65" x14ac:dyDescent="0.45">
      <c r="A166" s="90" t="s">
        <v>518</v>
      </c>
      <c r="B166" s="90" t="s">
        <v>563</v>
      </c>
      <c r="C166" s="102" t="s">
        <v>992</v>
      </c>
      <c r="D166" s="102" t="s">
        <v>993</v>
      </c>
      <c r="E166" s="103" t="b">
        <v>1</v>
      </c>
    </row>
    <row r="167" spans="1:5" ht="14.65" x14ac:dyDescent="0.45">
      <c r="A167" s="90" t="s">
        <v>518</v>
      </c>
      <c r="B167" s="90" t="s">
        <v>564</v>
      </c>
      <c r="C167" s="102" t="s">
        <v>994</v>
      </c>
      <c r="D167" s="102" t="s">
        <v>995</v>
      </c>
      <c r="E167" s="103" t="b">
        <v>1</v>
      </c>
    </row>
    <row r="168" spans="1:5" ht="14.65" x14ac:dyDescent="0.45">
      <c r="A168" s="90" t="s">
        <v>518</v>
      </c>
      <c r="B168" s="90" t="s">
        <v>565</v>
      </c>
      <c r="C168" s="102" t="s">
        <v>996</v>
      </c>
      <c r="D168" s="102" t="s">
        <v>997</v>
      </c>
      <c r="E168" s="103" t="b">
        <v>1</v>
      </c>
    </row>
    <row r="169" spans="1:5" ht="14.65" x14ac:dyDescent="0.45">
      <c r="A169" s="90" t="s">
        <v>518</v>
      </c>
      <c r="B169" s="90" t="s">
        <v>567</v>
      </c>
      <c r="C169" s="102" t="s">
        <v>998</v>
      </c>
      <c r="D169" s="102" t="s">
        <v>999</v>
      </c>
      <c r="E169" s="103" t="b">
        <v>1</v>
      </c>
    </row>
    <row r="170" spans="1:5" ht="14.65" x14ac:dyDescent="0.45">
      <c r="A170" s="90" t="s">
        <v>518</v>
      </c>
      <c r="B170" s="90" t="s">
        <v>568</v>
      </c>
      <c r="C170" s="102" t="s">
        <v>1000</v>
      </c>
      <c r="D170" s="102" t="s">
        <v>1001</v>
      </c>
      <c r="E170" s="103" t="b">
        <v>1</v>
      </c>
    </row>
    <row r="171" spans="1:5" ht="14.65" x14ac:dyDescent="0.45">
      <c r="A171" s="90" t="s">
        <v>518</v>
      </c>
      <c r="B171" s="90" t="s">
        <v>569</v>
      </c>
      <c r="C171" s="102" t="s">
        <v>1002</v>
      </c>
      <c r="D171" s="102" t="s">
        <v>1003</v>
      </c>
      <c r="E171" s="103" t="b">
        <v>1</v>
      </c>
    </row>
    <row r="172" spans="1:5" ht="14.65" x14ac:dyDescent="0.45">
      <c r="A172" s="90" t="s">
        <v>518</v>
      </c>
      <c r="B172" s="90" t="s">
        <v>570</v>
      </c>
      <c r="C172" s="102" t="s">
        <v>1004</v>
      </c>
      <c r="D172" s="102" t="s">
        <v>1005</v>
      </c>
      <c r="E172" s="103" t="b">
        <v>1</v>
      </c>
    </row>
    <row r="173" spans="1:5" ht="14.65" x14ac:dyDescent="0.45">
      <c r="A173" s="90" t="s">
        <v>518</v>
      </c>
      <c r="B173" s="90" t="s">
        <v>571</v>
      </c>
      <c r="C173" s="102" t="s">
        <v>1006</v>
      </c>
      <c r="D173" s="102" t="s">
        <v>1007</v>
      </c>
      <c r="E173" s="103" t="b">
        <v>1</v>
      </c>
    </row>
    <row r="174" spans="1:5" ht="14.65" x14ac:dyDescent="0.45">
      <c r="A174" s="90" t="s">
        <v>518</v>
      </c>
      <c r="B174" s="90" t="s">
        <v>572</v>
      </c>
      <c r="C174" s="102" t="s">
        <v>1008</v>
      </c>
      <c r="D174" s="102" t="s">
        <v>1009</v>
      </c>
      <c r="E174" s="103" t="b">
        <v>1</v>
      </c>
    </row>
    <row r="175" spans="1:5" ht="14.65" x14ac:dyDescent="0.45">
      <c r="A175" s="90" t="s">
        <v>518</v>
      </c>
      <c r="B175" s="90" t="s">
        <v>573</v>
      </c>
      <c r="C175" s="102" t="s">
        <v>1010</v>
      </c>
      <c r="D175" s="102" t="s">
        <v>1011</v>
      </c>
      <c r="E175" s="103" t="b">
        <v>1</v>
      </c>
    </row>
    <row r="176" spans="1:5" ht="14.65" x14ac:dyDescent="0.45">
      <c r="A176" s="90" t="s">
        <v>518</v>
      </c>
      <c r="B176" s="90" t="s">
        <v>574</v>
      </c>
      <c r="C176" s="102" t="s">
        <v>1012</v>
      </c>
      <c r="D176" s="102" t="s">
        <v>1013</v>
      </c>
      <c r="E176" s="103" t="b">
        <v>1</v>
      </c>
    </row>
    <row r="177" spans="1:5" ht="14.65" x14ac:dyDescent="0.45">
      <c r="A177" s="90" t="s">
        <v>518</v>
      </c>
      <c r="B177" s="90" t="s">
        <v>575</v>
      </c>
      <c r="C177" s="102" t="s">
        <v>1014</v>
      </c>
      <c r="D177" s="102" t="s">
        <v>1015</v>
      </c>
      <c r="E177" s="103" t="b">
        <v>1</v>
      </c>
    </row>
    <row r="178" spans="1:5" ht="14.65" x14ac:dyDescent="0.45">
      <c r="A178" s="90" t="s">
        <v>518</v>
      </c>
      <c r="B178" s="90" t="s">
        <v>576</v>
      </c>
      <c r="C178" s="102" t="s">
        <v>1016</v>
      </c>
      <c r="D178" s="102" t="s">
        <v>1017</v>
      </c>
      <c r="E178" s="103" t="b">
        <v>1</v>
      </c>
    </row>
    <row r="179" spans="1:5" ht="14.65" x14ac:dyDescent="0.45">
      <c r="A179" s="90" t="s">
        <v>518</v>
      </c>
      <c r="B179" s="90" t="s">
        <v>577</v>
      </c>
      <c r="C179" s="102" t="s">
        <v>1018</v>
      </c>
      <c r="D179" s="102" t="s">
        <v>1019</v>
      </c>
      <c r="E179" s="103" t="b">
        <v>1</v>
      </c>
    </row>
    <row r="180" spans="1:5" ht="14.65" x14ac:dyDescent="0.45">
      <c r="A180" s="90" t="s">
        <v>518</v>
      </c>
      <c r="B180" s="90" t="s">
        <v>578</v>
      </c>
      <c r="C180" s="102" t="s">
        <v>1020</v>
      </c>
      <c r="D180" s="102" t="s">
        <v>1021</v>
      </c>
      <c r="E180" s="103" t="b">
        <v>1</v>
      </c>
    </row>
    <row r="181" spans="1:5" ht="14.65" x14ac:dyDescent="0.45">
      <c r="A181" s="90" t="s">
        <v>518</v>
      </c>
      <c r="B181" s="90" t="s">
        <v>579</v>
      </c>
      <c r="C181" s="102" t="s">
        <v>1022</v>
      </c>
      <c r="D181" s="102" t="s">
        <v>1023</v>
      </c>
      <c r="E181" s="103" t="b">
        <v>1</v>
      </c>
    </row>
    <row r="182" spans="1:5" ht="14.65" x14ac:dyDescent="0.45">
      <c r="A182" s="90" t="s">
        <v>518</v>
      </c>
      <c r="B182" s="90" t="s">
        <v>580</v>
      </c>
      <c r="C182" s="102" t="s">
        <v>1024</v>
      </c>
      <c r="D182" s="102" t="s">
        <v>1025</v>
      </c>
      <c r="E182" s="103" t="b">
        <v>1</v>
      </c>
    </row>
    <row r="183" spans="1:5" ht="14.65" x14ac:dyDescent="0.45">
      <c r="A183" s="90" t="s">
        <v>518</v>
      </c>
      <c r="B183" s="90" t="s">
        <v>581</v>
      </c>
      <c r="C183" s="102" t="s">
        <v>1026</v>
      </c>
      <c r="D183" s="102" t="s">
        <v>1027</v>
      </c>
      <c r="E183" s="103" t="b">
        <v>1</v>
      </c>
    </row>
    <row r="184" spans="1:5" ht="14.65" x14ac:dyDescent="0.45">
      <c r="A184" s="90" t="s">
        <v>518</v>
      </c>
      <c r="B184" s="90" t="s">
        <v>582</v>
      </c>
      <c r="C184" s="102" t="s">
        <v>1028</v>
      </c>
      <c r="D184" s="102" t="s">
        <v>1029</v>
      </c>
      <c r="E184" s="103" t="b">
        <v>1</v>
      </c>
    </row>
    <row r="185" spans="1:5" ht="14.65" x14ac:dyDescent="0.45">
      <c r="A185" s="90" t="s">
        <v>518</v>
      </c>
      <c r="B185" s="90" t="s">
        <v>583</v>
      </c>
      <c r="C185" s="102" t="s">
        <v>1030</v>
      </c>
      <c r="D185" s="102" t="s">
        <v>1031</v>
      </c>
      <c r="E185" s="103" t="b">
        <v>1</v>
      </c>
    </row>
    <row r="186" spans="1:5" ht="14.65" x14ac:dyDescent="0.45">
      <c r="A186" s="90" t="s">
        <v>518</v>
      </c>
      <c r="B186" s="90" t="s">
        <v>584</v>
      </c>
      <c r="C186" s="102" t="s">
        <v>1032</v>
      </c>
      <c r="D186" s="102" t="s">
        <v>1033</v>
      </c>
      <c r="E186" s="103" t="b">
        <v>1</v>
      </c>
    </row>
    <row r="187" spans="1:5" ht="14.65" x14ac:dyDescent="0.45">
      <c r="A187" s="90" t="s">
        <v>518</v>
      </c>
      <c r="B187" s="90" t="s">
        <v>585</v>
      </c>
      <c r="C187" s="102" t="s">
        <v>1034</v>
      </c>
      <c r="D187" s="102" t="s">
        <v>1035</v>
      </c>
      <c r="E187" s="103" t="b">
        <v>1</v>
      </c>
    </row>
    <row r="188" spans="1:5" ht="14.65" x14ac:dyDescent="0.45">
      <c r="A188" s="90" t="s">
        <v>518</v>
      </c>
      <c r="B188" s="90" t="s">
        <v>586</v>
      </c>
      <c r="C188" s="102" t="s">
        <v>1036</v>
      </c>
      <c r="D188" s="102" t="s">
        <v>1037</v>
      </c>
      <c r="E188" s="103" t="b">
        <v>1</v>
      </c>
    </row>
    <row r="189" spans="1:5" ht="14.65" x14ac:dyDescent="0.45">
      <c r="A189" s="90" t="s">
        <v>518</v>
      </c>
      <c r="B189" s="90" t="s">
        <v>588</v>
      </c>
      <c r="C189" s="102" t="s">
        <v>1038</v>
      </c>
      <c r="D189" s="102" t="s">
        <v>1039</v>
      </c>
      <c r="E189" s="103" t="b">
        <v>1</v>
      </c>
    </row>
    <row r="190" spans="1:5" ht="14.65" x14ac:dyDescent="0.45">
      <c r="A190" s="90" t="s">
        <v>518</v>
      </c>
      <c r="B190" s="90" t="s">
        <v>589</v>
      </c>
      <c r="C190" s="102" t="s">
        <v>1040</v>
      </c>
      <c r="D190" s="102" t="s">
        <v>1041</v>
      </c>
      <c r="E190" s="103" t="b">
        <v>1</v>
      </c>
    </row>
    <row r="191" spans="1:5" ht="14.65" x14ac:dyDescent="0.45">
      <c r="A191" s="90" t="s">
        <v>518</v>
      </c>
      <c r="B191" s="90" t="s">
        <v>590</v>
      </c>
      <c r="C191" s="102" t="s">
        <v>1042</v>
      </c>
      <c r="D191" s="102" t="s">
        <v>1043</v>
      </c>
      <c r="E191" s="103" t="b">
        <v>1</v>
      </c>
    </row>
    <row r="192" spans="1:5" ht="14.65" x14ac:dyDescent="0.45">
      <c r="A192" s="90" t="s">
        <v>518</v>
      </c>
      <c r="B192" s="90" t="s">
        <v>591</v>
      </c>
      <c r="C192" s="102" t="s">
        <v>1044</v>
      </c>
      <c r="D192" s="102" t="s">
        <v>1045</v>
      </c>
      <c r="E192" s="103" t="b">
        <v>1</v>
      </c>
    </row>
    <row r="193" spans="1:5" ht="14.65" x14ac:dyDescent="0.45">
      <c r="A193" s="90" t="s">
        <v>518</v>
      </c>
      <c r="B193" s="90" t="s">
        <v>592</v>
      </c>
      <c r="C193" s="102" t="s">
        <v>1046</v>
      </c>
      <c r="D193" s="102" t="s">
        <v>1047</v>
      </c>
      <c r="E193" s="103" t="b">
        <v>1</v>
      </c>
    </row>
    <row r="194" spans="1:5" ht="14.65" x14ac:dyDescent="0.45">
      <c r="A194" s="90" t="s">
        <v>518</v>
      </c>
      <c r="B194" s="90" t="s">
        <v>593</v>
      </c>
      <c r="C194" s="102" t="s">
        <v>1048</v>
      </c>
      <c r="D194" s="102" t="s">
        <v>1049</v>
      </c>
      <c r="E194" s="103" t="b">
        <v>1</v>
      </c>
    </row>
    <row r="195" spans="1:5" ht="14.65" x14ac:dyDescent="0.45">
      <c r="A195" s="90" t="s">
        <v>518</v>
      </c>
      <c r="B195" s="90" t="s">
        <v>594</v>
      </c>
      <c r="C195" s="102" t="s">
        <v>1050</v>
      </c>
      <c r="D195" s="102" t="s">
        <v>1051</v>
      </c>
      <c r="E195" s="103" t="b">
        <v>1</v>
      </c>
    </row>
    <row r="196" spans="1:5" ht="14.65" x14ac:dyDescent="0.45">
      <c r="A196" s="90" t="s">
        <v>518</v>
      </c>
      <c r="B196" s="90" t="s">
        <v>595</v>
      </c>
      <c r="C196" s="102" t="s">
        <v>1052</v>
      </c>
      <c r="D196" s="102" t="s">
        <v>1053</v>
      </c>
      <c r="E196" s="103" t="b">
        <v>1</v>
      </c>
    </row>
    <row r="197" spans="1:5" ht="14.65" x14ac:dyDescent="0.45">
      <c r="A197" s="90" t="s">
        <v>518</v>
      </c>
      <c r="B197" s="90" t="s">
        <v>597</v>
      </c>
      <c r="C197" s="102" t="s">
        <v>1054</v>
      </c>
      <c r="D197" s="102" t="s">
        <v>1055</v>
      </c>
      <c r="E197" s="103" t="b">
        <v>1</v>
      </c>
    </row>
    <row r="198" spans="1:5" ht="14.65" x14ac:dyDescent="0.45">
      <c r="A198" s="90" t="s">
        <v>518</v>
      </c>
      <c r="B198" s="90" t="s">
        <v>598</v>
      </c>
      <c r="C198" s="102" t="s">
        <v>1056</v>
      </c>
      <c r="D198" s="102" t="s">
        <v>1057</v>
      </c>
      <c r="E198" s="103" t="b">
        <v>1</v>
      </c>
    </row>
    <row r="199" spans="1:5" ht="14.65" x14ac:dyDescent="0.45">
      <c r="A199" s="90" t="s">
        <v>518</v>
      </c>
      <c r="B199" s="90" t="s">
        <v>599</v>
      </c>
      <c r="C199" s="102" t="s">
        <v>1058</v>
      </c>
      <c r="D199" s="102" t="s">
        <v>1059</v>
      </c>
      <c r="E199" s="103" t="b">
        <v>1</v>
      </c>
    </row>
    <row r="200" spans="1:5" ht="14.65" x14ac:dyDescent="0.45">
      <c r="A200" s="90" t="s">
        <v>518</v>
      </c>
      <c r="B200" s="90" t="s">
        <v>600</v>
      </c>
      <c r="C200" s="102" t="s">
        <v>1060</v>
      </c>
      <c r="D200" s="102" t="s">
        <v>1061</v>
      </c>
      <c r="E200" s="103" t="b">
        <v>1</v>
      </c>
    </row>
    <row r="201" spans="1:5" ht="14.65" x14ac:dyDescent="0.45">
      <c r="A201" s="90" t="s">
        <v>518</v>
      </c>
      <c r="B201" s="90" t="s">
        <v>601</v>
      </c>
      <c r="C201" s="102" t="s">
        <v>1062</v>
      </c>
      <c r="D201" s="102" t="s">
        <v>1063</v>
      </c>
      <c r="E201" s="103" t="b">
        <v>1</v>
      </c>
    </row>
    <row r="202" spans="1:5" ht="14.65" x14ac:dyDescent="0.45">
      <c r="A202" s="90" t="s">
        <v>518</v>
      </c>
      <c r="B202" s="90" t="s">
        <v>602</v>
      </c>
      <c r="C202" s="102" t="s">
        <v>1064</v>
      </c>
      <c r="D202" s="102" t="s">
        <v>1065</v>
      </c>
      <c r="E202" s="103" t="b">
        <v>1</v>
      </c>
    </row>
    <row r="203" spans="1:5" ht="14.65" x14ac:dyDescent="0.45">
      <c r="A203" s="90" t="s">
        <v>518</v>
      </c>
      <c r="B203" s="90" t="s">
        <v>603</v>
      </c>
      <c r="C203" s="102" t="s">
        <v>1066</v>
      </c>
      <c r="D203" s="102" t="s">
        <v>1067</v>
      </c>
      <c r="E203" s="103" t="b">
        <v>1</v>
      </c>
    </row>
    <row r="204" spans="1:5" ht="14.65" x14ac:dyDescent="0.45">
      <c r="A204" s="90" t="s">
        <v>518</v>
      </c>
      <c r="B204" s="90" t="s">
        <v>604</v>
      </c>
      <c r="C204" s="102" t="s">
        <v>1068</v>
      </c>
      <c r="D204" s="102" t="s">
        <v>1069</v>
      </c>
      <c r="E204" s="103" t="b">
        <v>1</v>
      </c>
    </row>
    <row r="205" spans="1:5" ht="14.65" x14ac:dyDescent="0.45">
      <c r="A205" s="90" t="s">
        <v>518</v>
      </c>
      <c r="B205" s="90" t="s">
        <v>605</v>
      </c>
      <c r="C205" s="102" t="s">
        <v>1070</v>
      </c>
      <c r="D205" s="102" t="s">
        <v>1071</v>
      </c>
      <c r="E205" s="103" t="b">
        <v>1</v>
      </c>
    </row>
    <row r="206" spans="1:5" ht="14.65" x14ac:dyDescent="0.45">
      <c r="A206" s="90" t="s">
        <v>518</v>
      </c>
      <c r="B206" s="90" t="s">
        <v>606</v>
      </c>
      <c r="C206" s="102" t="s">
        <v>1072</v>
      </c>
      <c r="D206" s="102" t="s">
        <v>1073</v>
      </c>
      <c r="E206" s="103" t="b">
        <v>1</v>
      </c>
    </row>
    <row r="207" spans="1:5" ht="14.65" x14ac:dyDescent="0.45">
      <c r="A207" s="90" t="s">
        <v>518</v>
      </c>
      <c r="B207" s="90" t="s">
        <v>607</v>
      </c>
      <c r="C207" s="102" t="s">
        <v>1074</v>
      </c>
      <c r="D207" s="102" t="s">
        <v>1075</v>
      </c>
      <c r="E207" s="103" t="b">
        <v>1</v>
      </c>
    </row>
    <row r="208" spans="1:5" ht="14.65" x14ac:dyDescent="0.45">
      <c r="A208" s="90" t="s">
        <v>518</v>
      </c>
      <c r="B208" s="90" t="s">
        <v>608</v>
      </c>
      <c r="C208" s="102" t="s">
        <v>1076</v>
      </c>
      <c r="D208" s="102" t="s">
        <v>1077</v>
      </c>
      <c r="E208" s="103" t="b">
        <v>1</v>
      </c>
    </row>
    <row r="209" spans="1:5" ht="14.65" x14ac:dyDescent="0.45">
      <c r="A209" s="90" t="s">
        <v>518</v>
      </c>
      <c r="B209" s="90" t="s">
        <v>609</v>
      </c>
      <c r="C209" s="102" t="s">
        <v>1078</v>
      </c>
      <c r="D209" s="102" t="s">
        <v>1079</v>
      </c>
      <c r="E209" s="103" t="b">
        <v>1</v>
      </c>
    </row>
    <row r="210" spans="1:5" ht="14.65" x14ac:dyDescent="0.45">
      <c r="A210" s="90" t="s">
        <v>518</v>
      </c>
      <c r="B210" s="90" t="s">
        <v>610</v>
      </c>
      <c r="C210" s="102" t="s">
        <v>1080</v>
      </c>
      <c r="D210" s="102" t="s">
        <v>1081</v>
      </c>
      <c r="E210" s="103" t="b">
        <v>1</v>
      </c>
    </row>
    <row r="211" spans="1:5" ht="14.65" x14ac:dyDescent="0.45">
      <c r="A211" s="90" t="s">
        <v>518</v>
      </c>
      <c r="B211" s="90" t="s">
        <v>612</v>
      </c>
      <c r="C211" s="102" t="s">
        <v>1082</v>
      </c>
      <c r="D211" s="102" t="s">
        <v>1083</v>
      </c>
      <c r="E211" s="103" t="b">
        <v>1</v>
      </c>
    </row>
    <row r="212" spans="1:5" ht="14.65" x14ac:dyDescent="0.45">
      <c r="A212" s="90" t="s">
        <v>518</v>
      </c>
      <c r="B212" s="90" t="s">
        <v>613</v>
      </c>
      <c r="C212" s="102" t="s">
        <v>1084</v>
      </c>
      <c r="D212" s="102" t="s">
        <v>1085</v>
      </c>
      <c r="E212" s="103" t="b">
        <v>1</v>
      </c>
    </row>
    <row r="213" spans="1:5" ht="14.65" x14ac:dyDescent="0.45">
      <c r="A213" s="90" t="s">
        <v>518</v>
      </c>
      <c r="B213" s="90" t="s">
        <v>614</v>
      </c>
      <c r="C213" s="102" t="s">
        <v>1086</v>
      </c>
      <c r="D213" s="102" t="s">
        <v>1087</v>
      </c>
      <c r="E213" s="103" t="b">
        <v>1</v>
      </c>
    </row>
    <row r="214" spans="1:5" ht="14.65" x14ac:dyDescent="0.45">
      <c r="A214" s="90" t="s">
        <v>518</v>
      </c>
      <c r="B214" s="90" t="s">
        <v>615</v>
      </c>
      <c r="C214" s="102" t="s">
        <v>1088</v>
      </c>
      <c r="D214" s="102" t="s">
        <v>1089</v>
      </c>
      <c r="E214" s="103" t="b">
        <v>1</v>
      </c>
    </row>
    <row r="215" spans="1:5" ht="14.65" x14ac:dyDescent="0.45">
      <c r="A215" s="90" t="s">
        <v>518</v>
      </c>
      <c r="B215" s="90" t="s">
        <v>616</v>
      </c>
      <c r="C215" s="102" t="s">
        <v>1090</v>
      </c>
      <c r="D215" s="102" t="s">
        <v>1091</v>
      </c>
      <c r="E215" s="103" t="b">
        <v>1</v>
      </c>
    </row>
    <row r="216" spans="1:5" ht="14.65" x14ac:dyDescent="0.45">
      <c r="A216" s="90" t="s">
        <v>518</v>
      </c>
      <c r="B216" s="90" t="s">
        <v>617</v>
      </c>
      <c r="C216" s="102" t="s">
        <v>1092</v>
      </c>
      <c r="D216" s="102" t="s">
        <v>1093</v>
      </c>
      <c r="E216" s="103" t="b">
        <v>1</v>
      </c>
    </row>
    <row r="217" spans="1:5" ht="14.65" x14ac:dyDescent="0.45">
      <c r="A217" s="90" t="s">
        <v>518</v>
      </c>
      <c r="B217" s="90" t="s">
        <v>618</v>
      </c>
      <c r="C217" s="102" t="s">
        <v>1094</v>
      </c>
      <c r="D217" s="102" t="s">
        <v>1095</v>
      </c>
      <c r="E217" s="103" t="b">
        <v>1</v>
      </c>
    </row>
    <row r="218" spans="1:5" ht="14.65" x14ac:dyDescent="0.45">
      <c r="A218" s="90" t="s">
        <v>518</v>
      </c>
      <c r="B218" s="90" t="s">
        <v>619</v>
      </c>
      <c r="C218" s="102" t="s">
        <v>1096</v>
      </c>
      <c r="D218" s="102" t="s">
        <v>1097</v>
      </c>
      <c r="E218" s="103" t="b">
        <v>1</v>
      </c>
    </row>
    <row r="219" spans="1:5" ht="14.65" x14ac:dyDescent="0.45">
      <c r="A219" s="90" t="s">
        <v>518</v>
      </c>
      <c r="B219" s="90" t="s">
        <v>620</v>
      </c>
      <c r="C219" s="102" t="s">
        <v>1098</v>
      </c>
      <c r="D219" s="102" t="s">
        <v>1099</v>
      </c>
      <c r="E219" s="103" t="b">
        <v>1</v>
      </c>
    </row>
    <row r="220" spans="1:5" ht="14.65" x14ac:dyDescent="0.45">
      <c r="A220" s="90" t="s">
        <v>518</v>
      </c>
      <c r="B220" s="90" t="s">
        <v>621</v>
      </c>
      <c r="C220" s="102" t="s">
        <v>1100</v>
      </c>
      <c r="D220" s="102" t="s">
        <v>1101</v>
      </c>
      <c r="E220" s="103" t="b">
        <v>1</v>
      </c>
    </row>
    <row r="221" spans="1:5" ht="14.65" x14ac:dyDescent="0.45">
      <c r="A221" s="90" t="s">
        <v>518</v>
      </c>
      <c r="B221" s="90" t="s">
        <v>622</v>
      </c>
      <c r="C221" s="102" t="s">
        <v>1102</v>
      </c>
      <c r="D221" s="102" t="s">
        <v>1103</v>
      </c>
      <c r="E221" s="103" t="b">
        <v>1</v>
      </c>
    </row>
    <row r="222" spans="1:5" ht="14.65" x14ac:dyDescent="0.45">
      <c r="A222" s="90" t="s">
        <v>518</v>
      </c>
      <c r="B222" s="90" t="s">
        <v>623</v>
      </c>
      <c r="C222" s="102" t="s">
        <v>1104</v>
      </c>
      <c r="D222" s="102" t="s">
        <v>1105</v>
      </c>
      <c r="E222" s="103" t="b">
        <v>1</v>
      </c>
    </row>
    <row r="223" spans="1:5" ht="14.65" x14ac:dyDescent="0.45">
      <c r="A223" s="90" t="s">
        <v>518</v>
      </c>
      <c r="B223" s="90" t="s">
        <v>624</v>
      </c>
      <c r="C223" s="102" t="s">
        <v>1106</v>
      </c>
      <c r="D223" s="102" t="s">
        <v>1107</v>
      </c>
      <c r="E223" s="103" t="b">
        <v>1</v>
      </c>
    </row>
    <row r="224" spans="1:5" ht="14.65" x14ac:dyDescent="0.45">
      <c r="A224" s="90" t="s">
        <v>518</v>
      </c>
      <c r="B224" s="90" t="s">
        <v>625</v>
      </c>
      <c r="C224" s="102" t="s">
        <v>1108</v>
      </c>
      <c r="D224" s="102" t="s">
        <v>1109</v>
      </c>
      <c r="E224" s="103" t="b">
        <v>1</v>
      </c>
    </row>
    <row r="225" spans="1:5" ht="14.65" x14ac:dyDescent="0.45">
      <c r="A225" s="90" t="s">
        <v>518</v>
      </c>
      <c r="B225" s="90" t="s">
        <v>627</v>
      </c>
      <c r="C225" s="102" t="s">
        <v>1110</v>
      </c>
      <c r="D225" s="102" t="s">
        <v>1111</v>
      </c>
      <c r="E225" s="103" t="b">
        <v>1</v>
      </c>
    </row>
    <row r="226" spans="1:5" ht="14.65" x14ac:dyDescent="0.45">
      <c r="A226" s="90" t="s">
        <v>518</v>
      </c>
      <c r="B226" s="90" t="s">
        <v>628</v>
      </c>
      <c r="C226" s="102" t="s">
        <v>1112</v>
      </c>
      <c r="D226" s="102" t="s">
        <v>1113</v>
      </c>
      <c r="E226" s="103" t="b">
        <v>1</v>
      </c>
    </row>
    <row r="227" spans="1:5" ht="14.65" x14ac:dyDescent="0.45">
      <c r="A227" s="90" t="s">
        <v>518</v>
      </c>
      <c r="B227" s="90" t="s">
        <v>629</v>
      </c>
      <c r="C227" s="102" t="s">
        <v>1114</v>
      </c>
      <c r="D227" s="102" t="s">
        <v>1115</v>
      </c>
      <c r="E227" s="103" t="b">
        <v>1</v>
      </c>
    </row>
    <row r="228" spans="1:5" ht="14.65" x14ac:dyDescent="0.45">
      <c r="A228" s="90" t="s">
        <v>518</v>
      </c>
      <c r="B228" s="90" t="s">
        <v>630</v>
      </c>
      <c r="C228" s="102" t="s">
        <v>1116</v>
      </c>
      <c r="D228" s="102" t="s">
        <v>1117</v>
      </c>
      <c r="E228" s="103" t="b">
        <v>1</v>
      </c>
    </row>
    <row r="229" spans="1:5" ht="14.65" x14ac:dyDescent="0.45">
      <c r="A229" s="90" t="s">
        <v>518</v>
      </c>
      <c r="B229" s="90" t="s">
        <v>631</v>
      </c>
      <c r="C229" s="102" t="s">
        <v>1118</v>
      </c>
      <c r="D229" s="102" t="s">
        <v>1119</v>
      </c>
      <c r="E229" s="103" t="b">
        <v>1</v>
      </c>
    </row>
    <row r="230" spans="1:5" ht="14.65" x14ac:dyDescent="0.45">
      <c r="A230" s="90" t="s">
        <v>518</v>
      </c>
      <c r="B230" s="90" t="s">
        <v>632</v>
      </c>
      <c r="C230" s="102" t="s">
        <v>1120</v>
      </c>
      <c r="D230" s="102" t="s">
        <v>1121</v>
      </c>
      <c r="E230" s="103" t="b">
        <v>1</v>
      </c>
    </row>
    <row r="231" spans="1:5" ht="14.65" x14ac:dyDescent="0.45">
      <c r="A231" s="90" t="s">
        <v>518</v>
      </c>
      <c r="B231" s="90" t="s">
        <v>634</v>
      </c>
      <c r="C231" s="102" t="s">
        <v>1122</v>
      </c>
      <c r="D231" s="102" t="s">
        <v>1123</v>
      </c>
      <c r="E231" s="103" t="b">
        <v>1</v>
      </c>
    </row>
    <row r="232" spans="1:5" ht="14.65" x14ac:dyDescent="0.45">
      <c r="A232" s="90" t="s">
        <v>518</v>
      </c>
      <c r="B232" s="90" t="s">
        <v>635</v>
      </c>
      <c r="C232" s="102" t="s">
        <v>1124</v>
      </c>
      <c r="D232" s="102" t="s">
        <v>1125</v>
      </c>
      <c r="E232" s="103" t="b">
        <v>1</v>
      </c>
    </row>
    <row r="233" spans="1:5" ht="14.65" x14ac:dyDescent="0.45">
      <c r="A233" s="90" t="s">
        <v>518</v>
      </c>
      <c r="B233" s="90" t="s">
        <v>636</v>
      </c>
      <c r="C233" s="102" t="s">
        <v>1126</v>
      </c>
      <c r="D233" s="102" t="s">
        <v>1127</v>
      </c>
      <c r="E233" s="103" t="b">
        <v>1</v>
      </c>
    </row>
    <row r="234" spans="1:5" ht="14.65" x14ac:dyDescent="0.45">
      <c r="A234" s="90" t="s">
        <v>518</v>
      </c>
      <c r="B234" s="90" t="s">
        <v>637</v>
      </c>
      <c r="C234" s="102" t="s">
        <v>1128</v>
      </c>
      <c r="D234" s="102" t="s">
        <v>1129</v>
      </c>
      <c r="E234" s="103" t="b">
        <v>1</v>
      </c>
    </row>
    <row r="235" spans="1:5" ht="14.65" x14ac:dyDescent="0.45">
      <c r="A235" s="90" t="s">
        <v>518</v>
      </c>
      <c r="B235" s="90" t="s">
        <v>638</v>
      </c>
      <c r="C235" s="102" t="s">
        <v>1130</v>
      </c>
      <c r="D235" s="102" t="s">
        <v>1131</v>
      </c>
      <c r="E235" s="103" t="b">
        <v>1</v>
      </c>
    </row>
    <row r="236" spans="1:5" ht="14.65" x14ac:dyDescent="0.45">
      <c r="A236" s="90" t="s">
        <v>518</v>
      </c>
      <c r="B236" s="90" t="s">
        <v>639</v>
      </c>
      <c r="C236" s="102" t="s">
        <v>1132</v>
      </c>
      <c r="D236" s="102" t="s">
        <v>1133</v>
      </c>
      <c r="E236" s="103" t="b">
        <v>1</v>
      </c>
    </row>
    <row r="237" spans="1:5" ht="14.65" x14ac:dyDescent="0.45">
      <c r="A237" s="90" t="s">
        <v>518</v>
      </c>
      <c r="B237" s="90" t="s">
        <v>640</v>
      </c>
      <c r="C237" s="102" t="s">
        <v>1134</v>
      </c>
      <c r="D237" s="102" t="s">
        <v>1135</v>
      </c>
      <c r="E237" s="103" t="b">
        <v>1</v>
      </c>
    </row>
    <row r="238" spans="1:5" ht="14.65" x14ac:dyDescent="0.45">
      <c r="A238" s="90" t="s">
        <v>518</v>
      </c>
      <c r="B238" s="90" t="s">
        <v>641</v>
      </c>
      <c r="C238" s="102" t="s">
        <v>1136</v>
      </c>
      <c r="D238" s="102" t="s">
        <v>1137</v>
      </c>
      <c r="E238" s="103" t="b">
        <v>1</v>
      </c>
    </row>
    <row r="239" spans="1:5" ht="14.65" x14ac:dyDescent="0.45">
      <c r="A239" s="90" t="s">
        <v>518</v>
      </c>
      <c r="B239" s="90" t="s">
        <v>643</v>
      </c>
      <c r="C239" s="102" t="s">
        <v>1138</v>
      </c>
      <c r="D239" s="102" t="s">
        <v>1139</v>
      </c>
      <c r="E239" s="103" t="b">
        <v>1</v>
      </c>
    </row>
    <row r="240" spans="1:5" ht="14.65" x14ac:dyDescent="0.45">
      <c r="A240" s="90" t="s">
        <v>518</v>
      </c>
      <c r="B240" s="90" t="s">
        <v>644</v>
      </c>
      <c r="C240" s="102" t="s">
        <v>1140</v>
      </c>
      <c r="D240" s="102" t="s">
        <v>1141</v>
      </c>
      <c r="E240" s="103" t="b">
        <v>1</v>
      </c>
    </row>
    <row r="241" spans="1:5" ht="14.65" x14ac:dyDescent="0.45">
      <c r="A241" s="90" t="s">
        <v>518</v>
      </c>
      <c r="B241" s="90" t="s">
        <v>645</v>
      </c>
      <c r="C241" s="102" t="s">
        <v>1142</v>
      </c>
      <c r="D241" s="102" t="s">
        <v>1143</v>
      </c>
      <c r="E241" s="103" t="b">
        <v>1</v>
      </c>
    </row>
    <row r="242" spans="1:5" ht="14.65" x14ac:dyDescent="0.45">
      <c r="A242" s="90" t="s">
        <v>518</v>
      </c>
      <c r="B242" s="90" t="s">
        <v>646</v>
      </c>
      <c r="C242" s="102" t="s">
        <v>1144</v>
      </c>
      <c r="D242" s="102" t="s">
        <v>1145</v>
      </c>
      <c r="E242" s="103" t="b">
        <v>1</v>
      </c>
    </row>
    <row r="243" spans="1:5" ht="14.65" x14ac:dyDescent="0.45">
      <c r="A243" s="90" t="s">
        <v>518</v>
      </c>
      <c r="B243" s="90" t="s">
        <v>647</v>
      </c>
      <c r="C243" s="102" t="s">
        <v>1146</v>
      </c>
      <c r="D243" s="102" t="s">
        <v>1147</v>
      </c>
      <c r="E243" s="103" t="b">
        <v>1</v>
      </c>
    </row>
    <row r="244" spans="1:5" ht="14.65" x14ac:dyDescent="0.45">
      <c r="A244" s="90" t="s">
        <v>518</v>
      </c>
      <c r="B244" s="90" t="s">
        <v>648</v>
      </c>
      <c r="C244" s="102" t="s">
        <v>1148</v>
      </c>
      <c r="D244" s="102" t="s">
        <v>1149</v>
      </c>
      <c r="E244" s="103" t="b">
        <v>1</v>
      </c>
    </row>
    <row r="245" spans="1:5" ht="14.65" x14ac:dyDescent="0.45">
      <c r="A245" s="90" t="s">
        <v>518</v>
      </c>
      <c r="B245" s="90" t="s">
        <v>649</v>
      </c>
      <c r="C245" s="102" t="s">
        <v>1150</v>
      </c>
      <c r="D245" s="102" t="s">
        <v>1151</v>
      </c>
      <c r="E245" s="103" t="b">
        <v>1</v>
      </c>
    </row>
    <row r="246" spans="1:5" ht="14.65" x14ac:dyDescent="0.45">
      <c r="A246" s="90" t="s">
        <v>518</v>
      </c>
      <c r="B246" s="90" t="s">
        <v>650</v>
      </c>
      <c r="C246" s="102" t="s">
        <v>1152</v>
      </c>
      <c r="D246" s="102" t="s">
        <v>1153</v>
      </c>
      <c r="E246" s="103" t="b">
        <v>1</v>
      </c>
    </row>
    <row r="247" spans="1:5" ht="14.65" x14ac:dyDescent="0.45">
      <c r="A247" s="90" t="s">
        <v>518</v>
      </c>
      <c r="B247" s="90" t="s">
        <v>651</v>
      </c>
      <c r="C247" s="102" t="s">
        <v>1154</v>
      </c>
      <c r="D247" s="102" t="s">
        <v>1155</v>
      </c>
      <c r="E247" s="103" t="b">
        <v>1</v>
      </c>
    </row>
    <row r="248" spans="1:5" ht="14.65" x14ac:dyDescent="0.45">
      <c r="A248" s="90" t="s">
        <v>518</v>
      </c>
      <c r="B248" s="90" t="s">
        <v>652</v>
      </c>
      <c r="C248" s="102" t="s">
        <v>1156</v>
      </c>
      <c r="D248" s="102" t="s">
        <v>1157</v>
      </c>
      <c r="E248" s="103" t="b">
        <v>1</v>
      </c>
    </row>
    <row r="249" spans="1:5" ht="14.65" x14ac:dyDescent="0.45">
      <c r="A249" s="90" t="s">
        <v>518</v>
      </c>
      <c r="B249" s="90" t="s">
        <v>653</v>
      </c>
      <c r="C249" s="102" t="s">
        <v>1158</v>
      </c>
      <c r="D249" s="102" t="s">
        <v>1159</v>
      </c>
      <c r="E249" s="103" t="b">
        <v>1</v>
      </c>
    </row>
    <row r="250" spans="1:5" ht="14.65" x14ac:dyDescent="0.45">
      <c r="A250" s="90" t="s">
        <v>518</v>
      </c>
      <c r="B250" s="90" t="s">
        <v>654</v>
      </c>
      <c r="C250" s="102" t="s">
        <v>1160</v>
      </c>
      <c r="D250" s="102" t="s">
        <v>1161</v>
      </c>
      <c r="E250" s="103" t="b">
        <v>1</v>
      </c>
    </row>
    <row r="251" spans="1:5" ht="14.65" x14ac:dyDescent="0.45">
      <c r="A251" s="90" t="s">
        <v>518</v>
      </c>
      <c r="B251" s="90" t="s">
        <v>655</v>
      </c>
      <c r="C251" s="102" t="s">
        <v>1162</v>
      </c>
      <c r="D251" s="102" t="s">
        <v>1163</v>
      </c>
      <c r="E251" s="103" t="b">
        <v>1</v>
      </c>
    </row>
  </sheetData>
  <conditionalFormatting sqref="C2:D125">
    <cfRule type="duplicateValues" dxfId="26" priority="6" stopIfTrue="1"/>
  </conditionalFormatting>
  <conditionalFormatting sqref="C126:D251">
    <cfRule type="duplicateValues" dxfId="25" priority="5" stopIfTrue="1"/>
  </conditionalFormatting>
  <conditionalFormatting sqref="E126:E251">
    <cfRule type="cellIs" dxfId="24" priority="1" operator="equal">
      <formula>"In Progress"</formula>
    </cfRule>
    <cfRule type="cellIs" dxfId="23" priority="2" operator="equal">
      <formula>"Maybe"</formula>
    </cfRule>
    <cfRule type="cellIs" dxfId="22" priority="3" operator="equal">
      <formula>"Yes"</formula>
    </cfRule>
    <cfRule type="cellIs" dxfId="21" priority="4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3FC0-6D15-40D2-9100-0C4EDEC8F020}">
  <dimension ref="A1:K31"/>
  <sheetViews>
    <sheetView workbookViewId="0">
      <selection activeCell="K36" sqref="K36"/>
    </sheetView>
  </sheetViews>
  <sheetFormatPr defaultRowHeight="13.5" x14ac:dyDescent="0.3"/>
  <cols>
    <col min="1" max="1" width="7.46484375" bestFit="1" customWidth="1"/>
    <col min="2" max="2" width="9.46484375" bestFit="1" customWidth="1"/>
    <col min="3" max="3" width="12.46484375" bestFit="1" customWidth="1"/>
    <col min="4" max="4" width="7.46484375" bestFit="1" customWidth="1"/>
    <col min="5" max="5" width="7.1328125" bestFit="1" customWidth="1"/>
    <col min="6" max="6" width="8.1328125" customWidth="1"/>
    <col min="7" max="7" width="15.46484375" bestFit="1" customWidth="1"/>
    <col min="10" max="10" width="11.73046875" bestFit="1" customWidth="1"/>
    <col min="11" max="11" width="18.86328125" customWidth="1"/>
  </cols>
  <sheetData>
    <row r="1" spans="1:11" ht="14.65" x14ac:dyDescent="0.45">
      <c r="A1" s="154" t="s">
        <v>1164</v>
      </c>
      <c r="B1" s="154" t="s">
        <v>1165</v>
      </c>
      <c r="C1" s="154" t="s">
        <v>1166</v>
      </c>
      <c r="D1" s="155" t="s">
        <v>1167</v>
      </c>
      <c r="E1" s="155"/>
      <c r="F1" s="155"/>
      <c r="G1" s="155" t="s">
        <v>1168</v>
      </c>
      <c r="H1" s="155"/>
      <c r="I1" s="155"/>
      <c r="J1" s="108"/>
      <c r="K1" s="109" t="s">
        <v>1169</v>
      </c>
    </row>
    <row r="2" spans="1:11" ht="14.65" x14ac:dyDescent="0.45">
      <c r="A2" s="154"/>
      <c r="B2" s="154"/>
      <c r="C2" s="154"/>
      <c r="D2" s="107" t="s">
        <v>1170</v>
      </c>
      <c r="E2" s="107" t="s">
        <v>1171</v>
      </c>
      <c r="F2" s="107" t="s">
        <v>1172</v>
      </c>
      <c r="G2" s="107" t="s">
        <v>1173</v>
      </c>
      <c r="H2" s="110" t="s">
        <v>1171</v>
      </c>
      <c r="I2" s="110" t="s">
        <v>1172</v>
      </c>
      <c r="J2" s="107" t="s">
        <v>1174</v>
      </c>
      <c r="K2" s="111"/>
    </row>
    <row r="3" spans="1:11" x14ac:dyDescent="0.3">
      <c r="A3" s="112">
        <v>1</v>
      </c>
      <c r="B3" s="113">
        <v>82929702</v>
      </c>
      <c r="C3" s="112" t="s">
        <v>55</v>
      </c>
      <c r="D3" s="112">
        <v>8</v>
      </c>
      <c r="E3" s="114">
        <f>IF(D3&lt;=8, 1,0)</f>
        <v>1</v>
      </c>
      <c r="F3" s="114">
        <f>IF(D3&gt;8,1,0)</f>
        <v>0</v>
      </c>
      <c r="G3" s="112">
        <v>8</v>
      </c>
      <c r="H3" s="114">
        <f>IF(G3&lt;=8, 1,0)</f>
        <v>1</v>
      </c>
      <c r="I3" s="114">
        <f>IF(G3&gt;8,1,0)</f>
        <v>0</v>
      </c>
      <c r="J3" s="112">
        <f>G3-D3</f>
        <v>0</v>
      </c>
      <c r="K3" s="111"/>
    </row>
    <row r="4" spans="1:11" x14ac:dyDescent="0.3">
      <c r="A4" s="112">
        <v>1</v>
      </c>
      <c r="B4" s="113">
        <v>82929702</v>
      </c>
      <c r="C4" s="112" t="s">
        <v>88</v>
      </c>
      <c r="D4" s="112">
        <v>7</v>
      </c>
      <c r="E4" s="114">
        <f t="shared" ref="E4:E26" si="0">IF(D4&lt;=8, 1,0)</f>
        <v>1</v>
      </c>
      <c r="F4" s="114">
        <f t="shared" ref="F4:F29" si="1">IF(D4&gt;8,1,0)</f>
        <v>0</v>
      </c>
      <c r="G4" s="112">
        <v>7</v>
      </c>
      <c r="H4" s="114">
        <f t="shared" ref="H4:H29" si="2">IF(G4&lt;=8, 1,0)</f>
        <v>1</v>
      </c>
      <c r="I4" s="114">
        <f t="shared" ref="I4:I29" si="3">IF(G4&gt;8,1,0)</f>
        <v>0</v>
      </c>
      <c r="J4" s="112">
        <f t="shared" ref="J4:J29" si="4">G4-D4</f>
        <v>0</v>
      </c>
      <c r="K4" s="111"/>
    </row>
    <row r="5" spans="1:11" x14ac:dyDescent="0.3">
      <c r="A5" s="112">
        <v>1</v>
      </c>
      <c r="B5" s="113">
        <v>82929702</v>
      </c>
      <c r="C5" s="112" t="s">
        <v>117</v>
      </c>
      <c r="D5" s="112">
        <v>9</v>
      </c>
      <c r="E5" s="114">
        <f t="shared" si="0"/>
        <v>0</v>
      </c>
      <c r="F5" s="114">
        <f t="shared" si="1"/>
        <v>1</v>
      </c>
      <c r="G5" s="112">
        <v>9</v>
      </c>
      <c r="H5" s="114">
        <f t="shared" si="2"/>
        <v>0</v>
      </c>
      <c r="I5" s="114">
        <f t="shared" si="3"/>
        <v>1</v>
      </c>
      <c r="J5" s="112">
        <f t="shared" si="4"/>
        <v>0</v>
      </c>
      <c r="K5" s="111"/>
    </row>
    <row r="6" spans="1:11" x14ac:dyDescent="0.3">
      <c r="A6" s="112">
        <v>1</v>
      </c>
      <c r="B6" s="113">
        <v>82929702</v>
      </c>
      <c r="C6" s="112" t="s">
        <v>151</v>
      </c>
      <c r="D6" s="112">
        <v>9</v>
      </c>
      <c r="E6" s="114">
        <f t="shared" si="0"/>
        <v>0</v>
      </c>
      <c r="F6" s="114">
        <f t="shared" si="1"/>
        <v>1</v>
      </c>
      <c r="G6" s="112">
        <v>9</v>
      </c>
      <c r="H6" s="114">
        <f t="shared" si="2"/>
        <v>0</v>
      </c>
      <c r="I6" s="114">
        <f t="shared" si="3"/>
        <v>1</v>
      </c>
      <c r="J6" s="112">
        <f t="shared" si="4"/>
        <v>0</v>
      </c>
      <c r="K6" s="111"/>
    </row>
    <row r="7" spans="1:11" x14ac:dyDescent="0.3">
      <c r="A7" s="112">
        <v>1</v>
      </c>
      <c r="B7" s="113">
        <v>82929702</v>
      </c>
      <c r="C7" s="112" t="s">
        <v>182</v>
      </c>
      <c r="D7" s="112">
        <v>6</v>
      </c>
      <c r="E7" s="114">
        <f t="shared" si="0"/>
        <v>1</v>
      </c>
      <c r="F7" s="114">
        <f t="shared" si="1"/>
        <v>0</v>
      </c>
      <c r="G7" s="112">
        <v>6</v>
      </c>
      <c r="H7" s="114">
        <f t="shared" si="2"/>
        <v>1</v>
      </c>
      <c r="I7" s="114">
        <f t="shared" si="3"/>
        <v>0</v>
      </c>
      <c r="J7" s="112">
        <f t="shared" si="4"/>
        <v>0</v>
      </c>
      <c r="K7" s="111"/>
    </row>
    <row r="8" spans="1:11" x14ac:dyDescent="0.3">
      <c r="A8" s="112">
        <v>1</v>
      </c>
      <c r="B8" s="113">
        <v>82929702</v>
      </c>
      <c r="C8" s="112" t="s">
        <v>204</v>
      </c>
      <c r="D8" s="112">
        <v>9</v>
      </c>
      <c r="E8" s="114">
        <f t="shared" si="0"/>
        <v>0</v>
      </c>
      <c r="F8" s="114">
        <f t="shared" si="1"/>
        <v>1</v>
      </c>
      <c r="G8" s="112">
        <v>9</v>
      </c>
      <c r="H8" s="114">
        <f t="shared" si="2"/>
        <v>0</v>
      </c>
      <c r="I8" s="114">
        <f t="shared" si="3"/>
        <v>1</v>
      </c>
      <c r="J8" s="112">
        <f t="shared" si="4"/>
        <v>0</v>
      </c>
      <c r="K8" s="111"/>
    </row>
    <row r="9" spans="1:11" x14ac:dyDescent="0.3">
      <c r="A9" s="112">
        <v>2</v>
      </c>
      <c r="B9" s="113">
        <v>82929684</v>
      </c>
      <c r="C9" s="112" t="s">
        <v>66</v>
      </c>
      <c r="D9" s="112">
        <v>6</v>
      </c>
      <c r="E9" s="114">
        <f t="shared" si="0"/>
        <v>1</v>
      </c>
      <c r="F9" s="114">
        <f t="shared" si="1"/>
        <v>0</v>
      </c>
      <c r="G9" s="112">
        <v>6</v>
      </c>
      <c r="H9" s="114">
        <f t="shared" si="2"/>
        <v>1</v>
      </c>
      <c r="I9" s="114">
        <f t="shared" si="3"/>
        <v>0</v>
      </c>
      <c r="J9" s="112">
        <f t="shared" si="4"/>
        <v>0</v>
      </c>
      <c r="K9" s="111"/>
    </row>
    <row r="10" spans="1:11" ht="14.25" x14ac:dyDescent="0.3">
      <c r="A10" s="115">
        <v>2</v>
      </c>
      <c r="B10" s="116">
        <v>82929684</v>
      </c>
      <c r="C10" s="115" t="s">
        <v>97</v>
      </c>
      <c r="D10" s="115">
        <v>8</v>
      </c>
      <c r="E10" s="117">
        <f t="shared" si="0"/>
        <v>1</v>
      </c>
      <c r="F10" s="117">
        <f t="shared" si="1"/>
        <v>0</v>
      </c>
      <c r="G10" s="115">
        <v>7</v>
      </c>
      <c r="H10" s="117">
        <f t="shared" si="2"/>
        <v>1</v>
      </c>
      <c r="I10" s="117">
        <f t="shared" si="3"/>
        <v>0</v>
      </c>
      <c r="J10" s="115">
        <f t="shared" si="4"/>
        <v>-1</v>
      </c>
      <c r="K10" s="118" t="s">
        <v>1175</v>
      </c>
    </row>
    <row r="11" spans="1:11" ht="14.25" x14ac:dyDescent="0.3">
      <c r="A11" s="115">
        <v>2</v>
      </c>
      <c r="B11" s="116">
        <v>82929684</v>
      </c>
      <c r="C11" s="115" t="s">
        <v>129</v>
      </c>
      <c r="D11" s="115">
        <v>9</v>
      </c>
      <c r="E11" s="117">
        <f t="shared" si="0"/>
        <v>0</v>
      </c>
      <c r="F11" s="117">
        <f t="shared" si="1"/>
        <v>1</v>
      </c>
      <c r="G11" s="115">
        <v>8</v>
      </c>
      <c r="H11" s="117">
        <f t="shared" si="2"/>
        <v>1</v>
      </c>
      <c r="I11" s="117">
        <f t="shared" si="3"/>
        <v>0</v>
      </c>
      <c r="J11" s="115">
        <f t="shared" si="4"/>
        <v>-1</v>
      </c>
      <c r="K11" s="118" t="s">
        <v>1175</v>
      </c>
    </row>
    <row r="12" spans="1:11" x14ac:dyDescent="0.3">
      <c r="A12" s="112">
        <v>2</v>
      </c>
      <c r="B12" s="113">
        <v>82929684</v>
      </c>
      <c r="C12" s="112" t="s">
        <v>162</v>
      </c>
      <c r="D12" s="112">
        <v>9</v>
      </c>
      <c r="E12" s="114">
        <f t="shared" si="0"/>
        <v>0</v>
      </c>
      <c r="F12" s="114">
        <f t="shared" si="1"/>
        <v>1</v>
      </c>
      <c r="G12" s="112">
        <v>9</v>
      </c>
      <c r="H12" s="114">
        <f t="shared" si="2"/>
        <v>0</v>
      </c>
      <c r="I12" s="114">
        <f t="shared" si="3"/>
        <v>1</v>
      </c>
      <c r="J12" s="112">
        <f t="shared" si="4"/>
        <v>0</v>
      </c>
      <c r="K12" s="111"/>
    </row>
    <row r="13" spans="1:11" x14ac:dyDescent="0.3">
      <c r="A13" s="112">
        <v>2</v>
      </c>
      <c r="B13" s="113">
        <v>82929684</v>
      </c>
      <c r="C13" s="112" t="s">
        <v>190</v>
      </c>
      <c r="D13" s="112">
        <v>7</v>
      </c>
      <c r="E13" s="114">
        <f t="shared" si="0"/>
        <v>1</v>
      </c>
      <c r="F13" s="114">
        <f t="shared" si="1"/>
        <v>0</v>
      </c>
      <c r="G13" s="112">
        <v>7</v>
      </c>
      <c r="H13" s="114">
        <f t="shared" si="2"/>
        <v>1</v>
      </c>
      <c r="I13" s="114">
        <f t="shared" si="3"/>
        <v>0</v>
      </c>
      <c r="J13" s="112">
        <f t="shared" si="4"/>
        <v>0</v>
      </c>
      <c r="K13" s="111"/>
    </row>
    <row r="14" spans="1:11" x14ac:dyDescent="0.3">
      <c r="A14" s="112">
        <v>2</v>
      </c>
      <c r="B14" s="113">
        <v>82929684</v>
      </c>
      <c r="C14" s="112" t="s">
        <v>214</v>
      </c>
      <c r="D14" s="112">
        <v>6</v>
      </c>
      <c r="E14" s="114">
        <f t="shared" si="0"/>
        <v>1</v>
      </c>
      <c r="F14" s="114">
        <f t="shared" si="1"/>
        <v>0</v>
      </c>
      <c r="G14" s="112">
        <v>6</v>
      </c>
      <c r="H14" s="114">
        <f t="shared" si="2"/>
        <v>1</v>
      </c>
      <c r="I14" s="114">
        <f t="shared" si="3"/>
        <v>0</v>
      </c>
      <c r="J14" s="112">
        <f t="shared" si="4"/>
        <v>0</v>
      </c>
      <c r="K14" s="111"/>
    </row>
    <row r="15" spans="1:11" x14ac:dyDescent="0.3">
      <c r="A15" s="112">
        <v>2</v>
      </c>
      <c r="B15" s="113">
        <v>82929684</v>
      </c>
      <c r="C15" s="112" t="s">
        <v>221</v>
      </c>
      <c r="D15" s="112">
        <v>6</v>
      </c>
      <c r="E15" s="114">
        <f t="shared" si="0"/>
        <v>1</v>
      </c>
      <c r="F15" s="114">
        <f t="shared" si="1"/>
        <v>0</v>
      </c>
      <c r="G15" s="112">
        <v>6</v>
      </c>
      <c r="H15" s="114">
        <f t="shared" si="2"/>
        <v>1</v>
      </c>
      <c r="I15" s="114">
        <f t="shared" si="3"/>
        <v>0</v>
      </c>
      <c r="J15" s="112">
        <f t="shared" si="4"/>
        <v>0</v>
      </c>
      <c r="K15" s="111"/>
    </row>
    <row r="16" spans="1:11" ht="14.25" x14ac:dyDescent="0.3">
      <c r="A16" s="115">
        <v>2</v>
      </c>
      <c r="B16" s="116">
        <v>82929684</v>
      </c>
      <c r="C16" s="115" t="s">
        <v>234</v>
      </c>
      <c r="D16" s="115">
        <v>6</v>
      </c>
      <c r="E16" s="117">
        <f t="shared" si="0"/>
        <v>1</v>
      </c>
      <c r="F16" s="117">
        <f t="shared" si="1"/>
        <v>0</v>
      </c>
      <c r="G16" s="115">
        <v>4</v>
      </c>
      <c r="H16" s="117">
        <f t="shared" si="2"/>
        <v>1</v>
      </c>
      <c r="I16" s="117">
        <f t="shared" si="3"/>
        <v>0</v>
      </c>
      <c r="J16" s="115">
        <f t="shared" si="4"/>
        <v>-2</v>
      </c>
      <c r="K16" s="118" t="s">
        <v>1176</v>
      </c>
    </row>
    <row r="17" spans="1:11" x14ac:dyDescent="0.3">
      <c r="A17" s="112">
        <v>2</v>
      </c>
      <c r="B17" s="113">
        <v>82929684</v>
      </c>
      <c r="C17" s="112" t="s">
        <v>252</v>
      </c>
      <c r="D17" s="112">
        <v>8</v>
      </c>
      <c r="E17" s="114">
        <f t="shared" si="0"/>
        <v>1</v>
      </c>
      <c r="F17" s="114">
        <f t="shared" si="1"/>
        <v>0</v>
      </c>
      <c r="G17" s="112">
        <v>8</v>
      </c>
      <c r="H17" s="114">
        <f t="shared" si="2"/>
        <v>1</v>
      </c>
      <c r="I17" s="114">
        <f t="shared" si="3"/>
        <v>0</v>
      </c>
      <c r="J17" s="112">
        <f t="shared" si="4"/>
        <v>0</v>
      </c>
      <c r="K17" s="111"/>
    </row>
    <row r="18" spans="1:11" x14ac:dyDescent="0.3">
      <c r="A18" s="112">
        <v>2</v>
      </c>
      <c r="B18" s="113">
        <v>82929684</v>
      </c>
      <c r="C18" s="112" t="s">
        <v>24</v>
      </c>
      <c r="D18" s="112">
        <v>6</v>
      </c>
      <c r="E18" s="114">
        <f t="shared" si="0"/>
        <v>1</v>
      </c>
      <c r="F18" s="114">
        <f t="shared" si="1"/>
        <v>0</v>
      </c>
      <c r="G18" s="112">
        <v>6</v>
      </c>
      <c r="H18" s="114">
        <f t="shared" si="2"/>
        <v>1</v>
      </c>
      <c r="I18" s="114">
        <f t="shared" si="3"/>
        <v>0</v>
      </c>
      <c r="J18" s="112">
        <f t="shared" si="4"/>
        <v>0</v>
      </c>
      <c r="K18" s="111"/>
    </row>
    <row r="19" spans="1:11" x14ac:dyDescent="0.3">
      <c r="A19" s="112">
        <v>3</v>
      </c>
      <c r="B19" s="112">
        <v>71205556</v>
      </c>
      <c r="C19" s="112" t="s">
        <v>75</v>
      </c>
      <c r="D19" s="112">
        <v>9</v>
      </c>
      <c r="E19" s="114">
        <f t="shared" si="0"/>
        <v>0</v>
      </c>
      <c r="F19" s="114">
        <f t="shared" si="1"/>
        <v>1</v>
      </c>
      <c r="G19" s="112">
        <v>9</v>
      </c>
      <c r="H19" s="114">
        <f t="shared" si="2"/>
        <v>0</v>
      </c>
      <c r="I19" s="114">
        <f t="shared" si="3"/>
        <v>1</v>
      </c>
      <c r="J19" s="112">
        <f t="shared" si="4"/>
        <v>0</v>
      </c>
      <c r="K19" s="111"/>
    </row>
    <row r="20" spans="1:11" x14ac:dyDescent="0.3">
      <c r="A20" s="112">
        <v>3</v>
      </c>
      <c r="B20" s="112">
        <v>71205556</v>
      </c>
      <c r="C20" s="112" t="s">
        <v>106</v>
      </c>
      <c r="D20" s="112">
        <v>9</v>
      </c>
      <c r="E20" s="114">
        <f t="shared" si="0"/>
        <v>0</v>
      </c>
      <c r="F20" s="114">
        <f t="shared" si="1"/>
        <v>1</v>
      </c>
      <c r="G20" s="112">
        <v>9</v>
      </c>
      <c r="H20" s="114">
        <f t="shared" si="2"/>
        <v>0</v>
      </c>
      <c r="I20" s="114">
        <f t="shared" si="3"/>
        <v>1</v>
      </c>
      <c r="J20" s="112">
        <f t="shared" si="4"/>
        <v>0</v>
      </c>
      <c r="K20" s="111"/>
    </row>
    <row r="21" spans="1:11" x14ac:dyDescent="0.3">
      <c r="A21" s="112">
        <v>3</v>
      </c>
      <c r="B21" s="112">
        <v>71205556</v>
      </c>
      <c r="C21" s="112" t="s">
        <v>140</v>
      </c>
      <c r="D21" s="112">
        <v>9</v>
      </c>
      <c r="E21" s="114">
        <f t="shared" si="0"/>
        <v>0</v>
      </c>
      <c r="F21" s="114">
        <f t="shared" si="1"/>
        <v>1</v>
      </c>
      <c r="G21" s="112">
        <v>9</v>
      </c>
      <c r="H21" s="114">
        <f t="shared" si="2"/>
        <v>0</v>
      </c>
      <c r="I21" s="114">
        <f t="shared" si="3"/>
        <v>1</v>
      </c>
      <c r="J21" s="112">
        <f t="shared" si="4"/>
        <v>0</v>
      </c>
      <c r="K21" s="111"/>
    </row>
    <row r="22" spans="1:11" ht="14.25" x14ac:dyDescent="0.3">
      <c r="A22" s="115">
        <v>3</v>
      </c>
      <c r="B22" s="115">
        <v>71205556</v>
      </c>
      <c r="C22" s="115" t="s">
        <v>172</v>
      </c>
      <c r="D22" s="115">
        <v>9</v>
      </c>
      <c r="E22" s="117">
        <f t="shared" si="0"/>
        <v>0</v>
      </c>
      <c r="F22" s="117">
        <f t="shared" si="1"/>
        <v>1</v>
      </c>
      <c r="G22" s="115">
        <v>8</v>
      </c>
      <c r="H22" s="117">
        <f t="shared" si="2"/>
        <v>1</v>
      </c>
      <c r="I22" s="117">
        <f t="shared" si="3"/>
        <v>0</v>
      </c>
      <c r="J22" s="115">
        <f t="shared" si="4"/>
        <v>-1</v>
      </c>
      <c r="K22" s="118" t="s">
        <v>1175</v>
      </c>
    </row>
    <row r="23" spans="1:11" ht="14.25" x14ac:dyDescent="0.3">
      <c r="A23" s="115">
        <v>3</v>
      </c>
      <c r="B23" s="115">
        <v>71205556</v>
      </c>
      <c r="C23" s="115" t="s">
        <v>198</v>
      </c>
      <c r="D23" s="115">
        <v>9</v>
      </c>
      <c r="E23" s="117">
        <f t="shared" si="0"/>
        <v>0</v>
      </c>
      <c r="F23" s="117">
        <f t="shared" si="1"/>
        <v>1</v>
      </c>
      <c r="G23" s="115">
        <v>5</v>
      </c>
      <c r="H23" s="117">
        <f t="shared" si="2"/>
        <v>1</v>
      </c>
      <c r="I23" s="117">
        <f t="shared" si="3"/>
        <v>0</v>
      </c>
      <c r="J23" s="115">
        <f t="shared" si="4"/>
        <v>-4</v>
      </c>
      <c r="K23" s="118" t="s">
        <v>1177</v>
      </c>
    </row>
    <row r="24" spans="1:11" ht="14.25" x14ac:dyDescent="0.3">
      <c r="A24" s="119">
        <v>3</v>
      </c>
      <c r="B24" s="119">
        <v>71205556</v>
      </c>
      <c r="C24" s="119" t="s">
        <v>1178</v>
      </c>
      <c r="D24" s="119">
        <v>9</v>
      </c>
      <c r="E24" s="120">
        <f t="shared" si="0"/>
        <v>0</v>
      </c>
      <c r="F24" s="120">
        <f t="shared" si="1"/>
        <v>1</v>
      </c>
      <c r="G24" s="119">
        <v>0</v>
      </c>
      <c r="H24" s="120">
        <v>0</v>
      </c>
      <c r="I24" s="120">
        <f t="shared" si="3"/>
        <v>0</v>
      </c>
      <c r="J24" s="119">
        <f t="shared" si="4"/>
        <v>-9</v>
      </c>
      <c r="K24" s="121" t="s">
        <v>1179</v>
      </c>
    </row>
    <row r="25" spans="1:11" ht="14.25" x14ac:dyDescent="0.3">
      <c r="A25" s="115">
        <v>3</v>
      </c>
      <c r="B25" s="115">
        <v>71205556</v>
      </c>
      <c r="C25" s="115" t="s">
        <v>229</v>
      </c>
      <c r="D25" s="115">
        <v>9</v>
      </c>
      <c r="E25" s="117">
        <f t="shared" si="0"/>
        <v>0</v>
      </c>
      <c r="F25" s="117">
        <f t="shared" si="1"/>
        <v>1</v>
      </c>
      <c r="G25" s="115">
        <v>3</v>
      </c>
      <c r="H25" s="117">
        <f t="shared" si="2"/>
        <v>1</v>
      </c>
      <c r="I25" s="117">
        <f t="shared" si="3"/>
        <v>0</v>
      </c>
      <c r="J25" s="115">
        <f t="shared" si="4"/>
        <v>-6</v>
      </c>
      <c r="K25" s="118" t="s">
        <v>1180</v>
      </c>
    </row>
    <row r="26" spans="1:11" ht="14.25" x14ac:dyDescent="0.3">
      <c r="A26" s="115">
        <v>3</v>
      </c>
      <c r="B26" s="115">
        <v>71205556</v>
      </c>
      <c r="C26" s="115" t="s">
        <v>241</v>
      </c>
      <c r="D26" s="115">
        <v>8</v>
      </c>
      <c r="E26" s="117">
        <f t="shared" si="0"/>
        <v>1</v>
      </c>
      <c r="F26" s="117">
        <f t="shared" si="1"/>
        <v>0</v>
      </c>
      <c r="G26" s="115">
        <v>9</v>
      </c>
      <c r="H26" s="117">
        <f t="shared" si="2"/>
        <v>0</v>
      </c>
      <c r="I26" s="117">
        <f t="shared" si="3"/>
        <v>1</v>
      </c>
      <c r="J26" s="115">
        <f t="shared" si="4"/>
        <v>1</v>
      </c>
      <c r="K26" s="118" t="s">
        <v>1181</v>
      </c>
    </row>
    <row r="27" spans="1:11" ht="14.25" x14ac:dyDescent="0.3">
      <c r="A27" s="122">
        <v>3</v>
      </c>
      <c r="B27" s="122">
        <v>71205556</v>
      </c>
      <c r="C27" s="123" t="s">
        <v>261</v>
      </c>
      <c r="D27" s="122">
        <v>0</v>
      </c>
      <c r="E27" s="124">
        <v>0</v>
      </c>
      <c r="F27" s="124">
        <f t="shared" si="1"/>
        <v>0</v>
      </c>
      <c r="G27" s="122">
        <v>8</v>
      </c>
      <c r="H27" s="124">
        <f t="shared" si="2"/>
        <v>1</v>
      </c>
      <c r="I27" s="124">
        <f t="shared" si="3"/>
        <v>0</v>
      </c>
      <c r="J27" s="122">
        <f t="shared" si="4"/>
        <v>8</v>
      </c>
      <c r="K27" s="118" t="s">
        <v>1182</v>
      </c>
    </row>
    <row r="28" spans="1:11" ht="14.25" x14ac:dyDescent="0.3">
      <c r="A28" s="122">
        <v>3</v>
      </c>
      <c r="B28" s="122">
        <v>71205556</v>
      </c>
      <c r="C28" s="123" t="s">
        <v>36</v>
      </c>
      <c r="D28" s="122">
        <v>0</v>
      </c>
      <c r="E28" s="124">
        <v>0</v>
      </c>
      <c r="F28" s="124">
        <f t="shared" si="1"/>
        <v>0</v>
      </c>
      <c r="G28" s="122">
        <v>7</v>
      </c>
      <c r="H28" s="124">
        <f t="shared" si="2"/>
        <v>1</v>
      </c>
      <c r="I28" s="124">
        <f t="shared" si="3"/>
        <v>0</v>
      </c>
      <c r="J28" s="122">
        <f t="shared" si="4"/>
        <v>7</v>
      </c>
      <c r="K28" s="118" t="s">
        <v>1182</v>
      </c>
    </row>
    <row r="29" spans="1:11" ht="14.25" x14ac:dyDescent="0.3">
      <c r="A29" s="122">
        <v>3</v>
      </c>
      <c r="B29" s="122">
        <v>71205556</v>
      </c>
      <c r="C29" s="123" t="s">
        <v>46</v>
      </c>
      <c r="D29" s="122">
        <v>0</v>
      </c>
      <c r="E29" s="124">
        <v>0</v>
      </c>
      <c r="F29" s="124">
        <f t="shared" si="1"/>
        <v>0</v>
      </c>
      <c r="G29" s="122">
        <v>8</v>
      </c>
      <c r="H29" s="124">
        <f t="shared" si="2"/>
        <v>1</v>
      </c>
      <c r="I29" s="124">
        <f t="shared" si="3"/>
        <v>0</v>
      </c>
      <c r="J29" s="122">
        <f t="shared" si="4"/>
        <v>8</v>
      </c>
      <c r="K29" s="118" t="s">
        <v>1182</v>
      </c>
    </row>
    <row r="30" spans="1:11" ht="14.65" x14ac:dyDescent="0.45">
      <c r="D30" s="110">
        <f t="shared" ref="D30:I30" si="5">SUM(D3:D29)</f>
        <v>190</v>
      </c>
      <c r="E30" s="125">
        <f t="shared" si="5"/>
        <v>12</v>
      </c>
      <c r="F30" s="125">
        <f t="shared" si="5"/>
        <v>12</v>
      </c>
      <c r="G30" s="110">
        <f t="shared" si="5"/>
        <v>190</v>
      </c>
      <c r="H30" s="125">
        <f t="shared" si="5"/>
        <v>18</v>
      </c>
      <c r="I30" s="125">
        <f t="shared" si="5"/>
        <v>8</v>
      </c>
      <c r="J30" s="126"/>
      <c r="K30" s="111"/>
    </row>
    <row r="31" spans="1:11" x14ac:dyDescent="0.3">
      <c r="E31" s="52">
        <f>SUM(E30:F30)</f>
        <v>24</v>
      </c>
      <c r="H31" s="51">
        <f>SUM(H30:I30)</f>
        <v>26</v>
      </c>
    </row>
  </sheetData>
  <mergeCells count="5">
    <mergeCell ref="A1:A2"/>
    <mergeCell ref="B1:B2"/>
    <mergeCell ref="C1:C2"/>
    <mergeCell ref="D1:F1"/>
    <mergeCell ref="G1:I1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zoomScale="64" zoomScaleNormal="70" workbookViewId="0">
      <pane ySplit="1" topLeftCell="A16" activePane="bottomLeft" state="frozen"/>
      <selection pane="bottomLeft" activeCell="L21" sqref="L21"/>
    </sheetView>
  </sheetViews>
  <sheetFormatPr defaultColWidth="9" defaultRowHeight="13.5" x14ac:dyDescent="0.3"/>
  <cols>
    <col min="1" max="1" width="5.265625" bestFit="1" customWidth="1"/>
    <col min="2" max="2" width="10.265625" customWidth="1"/>
    <col min="3" max="3" width="25.265625" bestFit="1" customWidth="1"/>
    <col min="4" max="4" width="22.1328125" bestFit="1" customWidth="1"/>
    <col min="5" max="6" width="24" customWidth="1"/>
    <col min="7" max="7" width="19" bestFit="1" customWidth="1"/>
    <col min="8" max="8" width="16.86328125" bestFit="1" customWidth="1"/>
    <col min="9" max="9" width="24.3984375" bestFit="1" customWidth="1"/>
  </cols>
  <sheetData>
    <row r="1" spans="1:9" ht="21" x14ac:dyDescent="0.3">
      <c r="A1" s="127" t="s">
        <v>1183</v>
      </c>
      <c r="B1" s="127" t="s">
        <v>1</v>
      </c>
      <c r="C1" s="128" t="s">
        <v>276</v>
      </c>
      <c r="D1" s="127" t="s">
        <v>278</v>
      </c>
      <c r="E1" s="105" t="s">
        <v>1184</v>
      </c>
      <c r="F1" s="129" t="s">
        <v>1185</v>
      </c>
      <c r="G1" s="129" t="s">
        <v>1186</v>
      </c>
      <c r="H1" s="129" t="s">
        <v>1187</v>
      </c>
      <c r="I1" s="105" t="s">
        <v>1184</v>
      </c>
    </row>
    <row r="2" spans="1:9" ht="23.25" x14ac:dyDescent="0.7">
      <c r="A2" s="130">
        <v>22</v>
      </c>
      <c r="B2" s="130" t="s">
        <v>1188</v>
      </c>
      <c r="C2" s="130">
        <v>67573323</v>
      </c>
      <c r="D2" s="130">
        <v>19375.900000000001</v>
      </c>
      <c r="E2" s="130"/>
      <c r="F2" s="135">
        <v>46218</v>
      </c>
      <c r="G2" s="130">
        <v>19888.099999999999</v>
      </c>
      <c r="H2" s="131">
        <f t="shared" ref="H2:H34" si="0">G2-D2</f>
        <v>512.19999999999709</v>
      </c>
      <c r="I2" s="106"/>
    </row>
    <row r="3" spans="1:9" ht="23.25" x14ac:dyDescent="0.7">
      <c r="A3" s="130">
        <v>44</v>
      </c>
      <c r="B3" s="130" t="s">
        <v>1188</v>
      </c>
      <c r="C3" s="130">
        <v>67021362</v>
      </c>
      <c r="D3" s="130">
        <v>56032.6</v>
      </c>
      <c r="E3" s="130"/>
      <c r="F3" s="135"/>
      <c r="G3" s="130">
        <v>56111.5</v>
      </c>
      <c r="H3" s="131">
        <f t="shared" si="0"/>
        <v>78.900000000001455</v>
      </c>
      <c r="I3" s="106"/>
    </row>
    <row r="4" spans="1:9" ht="23.25" x14ac:dyDescent="0.7">
      <c r="A4" s="130">
        <v>53</v>
      </c>
      <c r="B4" s="130" t="s">
        <v>1188</v>
      </c>
      <c r="C4" s="130">
        <v>67573216</v>
      </c>
      <c r="D4" s="130">
        <v>17968.5</v>
      </c>
      <c r="E4" s="130"/>
      <c r="F4" s="135"/>
      <c r="G4" s="130">
        <v>18120.900000000001</v>
      </c>
      <c r="H4" s="131">
        <f t="shared" si="0"/>
        <v>152.40000000000146</v>
      </c>
      <c r="I4" s="106"/>
    </row>
    <row r="5" spans="1:9" ht="23.25" x14ac:dyDescent="0.7">
      <c r="A5" s="132">
        <v>58</v>
      </c>
      <c r="B5" s="130" t="s">
        <v>33</v>
      </c>
      <c r="C5" s="132">
        <v>42607693</v>
      </c>
      <c r="D5" s="132">
        <v>59659</v>
      </c>
      <c r="E5" s="132"/>
      <c r="F5" s="135"/>
      <c r="G5" s="130">
        <v>59659</v>
      </c>
      <c r="H5" s="131">
        <f t="shared" si="0"/>
        <v>0</v>
      </c>
      <c r="I5" s="106"/>
    </row>
    <row r="6" spans="1:9" ht="23.25" x14ac:dyDescent="0.7">
      <c r="A6" s="132">
        <v>60</v>
      </c>
      <c r="B6" s="130" t="s">
        <v>33</v>
      </c>
      <c r="C6" s="132">
        <v>42607645</v>
      </c>
      <c r="D6" s="132">
        <v>97390</v>
      </c>
      <c r="E6" s="132"/>
      <c r="F6" s="135"/>
      <c r="G6" s="130">
        <v>97390</v>
      </c>
      <c r="H6" s="131">
        <f t="shared" si="0"/>
        <v>0</v>
      </c>
      <c r="I6" s="106"/>
    </row>
    <row r="7" spans="1:9" ht="23.25" x14ac:dyDescent="0.7">
      <c r="A7" s="132">
        <v>61</v>
      </c>
      <c r="B7" s="130" t="s">
        <v>33</v>
      </c>
      <c r="C7" s="132">
        <v>42607493</v>
      </c>
      <c r="D7" s="132">
        <v>23184</v>
      </c>
      <c r="E7" s="132"/>
      <c r="F7" s="135"/>
      <c r="G7" s="130">
        <v>23184</v>
      </c>
      <c r="H7" s="131">
        <f t="shared" si="0"/>
        <v>0</v>
      </c>
      <c r="I7" s="106"/>
    </row>
    <row r="8" spans="1:9" ht="23.25" x14ac:dyDescent="0.7">
      <c r="A8" s="132">
        <v>62</v>
      </c>
      <c r="B8" s="130" t="s">
        <v>33</v>
      </c>
      <c r="C8" s="132">
        <v>42607616</v>
      </c>
      <c r="D8" s="132">
        <v>7889</v>
      </c>
      <c r="E8" s="132"/>
      <c r="F8" s="135"/>
      <c r="G8" s="130">
        <v>7889</v>
      </c>
      <c r="H8" s="131">
        <f t="shared" si="0"/>
        <v>0</v>
      </c>
      <c r="I8" s="106"/>
    </row>
    <row r="9" spans="1:9" ht="23.25" x14ac:dyDescent="0.7">
      <c r="A9" s="132">
        <v>63</v>
      </c>
      <c r="B9" s="130" t="s">
        <v>33</v>
      </c>
      <c r="C9" s="132">
        <v>42607457</v>
      </c>
      <c r="D9" s="132">
        <v>27096</v>
      </c>
      <c r="E9" s="132"/>
      <c r="F9" s="135"/>
      <c r="G9" s="130">
        <v>27095</v>
      </c>
      <c r="H9" s="131">
        <f t="shared" si="0"/>
        <v>-1</v>
      </c>
      <c r="I9" s="106"/>
    </row>
    <row r="10" spans="1:9" ht="23.25" x14ac:dyDescent="0.7">
      <c r="A10" s="132">
        <v>64</v>
      </c>
      <c r="B10" s="130" t="s">
        <v>33</v>
      </c>
      <c r="C10" s="132">
        <v>42607809</v>
      </c>
      <c r="D10" s="132">
        <v>15280</v>
      </c>
      <c r="E10" s="132"/>
      <c r="F10" s="135"/>
      <c r="G10" s="130">
        <v>15280</v>
      </c>
      <c r="H10" s="131">
        <f t="shared" si="0"/>
        <v>0</v>
      </c>
      <c r="I10" s="106"/>
    </row>
    <row r="11" spans="1:9" ht="23.25" x14ac:dyDescent="0.7">
      <c r="A11" s="132">
        <v>65</v>
      </c>
      <c r="B11" s="130" t="s">
        <v>33</v>
      </c>
      <c r="C11" s="132">
        <v>42607653</v>
      </c>
      <c r="D11" s="132">
        <v>20310</v>
      </c>
      <c r="E11" s="132"/>
      <c r="F11" s="135"/>
      <c r="G11" s="130">
        <v>20310</v>
      </c>
      <c r="H11" s="131">
        <f t="shared" si="0"/>
        <v>0</v>
      </c>
      <c r="I11" s="106"/>
    </row>
    <row r="12" spans="1:9" ht="23.25" x14ac:dyDescent="0.7">
      <c r="A12" s="132">
        <v>66</v>
      </c>
      <c r="B12" s="130" t="s">
        <v>33</v>
      </c>
      <c r="C12" s="132">
        <v>42607631</v>
      </c>
      <c r="D12" s="132">
        <v>24100</v>
      </c>
      <c r="E12" s="132"/>
      <c r="F12" s="135"/>
      <c r="G12" s="130">
        <v>24100</v>
      </c>
      <c r="H12" s="131">
        <f t="shared" si="0"/>
        <v>0</v>
      </c>
      <c r="I12" s="106"/>
    </row>
    <row r="13" spans="1:9" ht="23.25" x14ac:dyDescent="0.7">
      <c r="A13" s="132">
        <v>67</v>
      </c>
      <c r="B13" s="130" t="s">
        <v>33</v>
      </c>
      <c r="C13" s="132">
        <v>46886910</v>
      </c>
      <c r="D13" s="132">
        <v>172161.6</v>
      </c>
      <c r="E13" s="132"/>
      <c r="F13" s="135"/>
      <c r="G13" s="130">
        <v>172161.6</v>
      </c>
      <c r="H13" s="131">
        <f t="shared" si="0"/>
        <v>0</v>
      </c>
      <c r="I13" s="106"/>
    </row>
    <row r="14" spans="1:9" ht="23.25" x14ac:dyDescent="0.7">
      <c r="A14" s="132">
        <v>68</v>
      </c>
      <c r="B14" s="130" t="s">
        <v>33</v>
      </c>
      <c r="C14" s="132">
        <v>42607609</v>
      </c>
      <c r="D14" s="132">
        <v>11718</v>
      </c>
      <c r="E14" s="132"/>
      <c r="F14" s="135"/>
      <c r="G14" s="130">
        <v>11718</v>
      </c>
      <c r="H14" s="131">
        <f t="shared" si="0"/>
        <v>0</v>
      </c>
      <c r="I14" s="106"/>
    </row>
    <row r="15" spans="1:9" ht="23.25" x14ac:dyDescent="0.7">
      <c r="A15" s="132">
        <v>69</v>
      </c>
      <c r="B15" s="130" t="s">
        <v>33</v>
      </c>
      <c r="C15" s="132">
        <v>47512547</v>
      </c>
      <c r="D15" s="132">
        <v>38143</v>
      </c>
      <c r="E15" s="132"/>
      <c r="F15" s="135"/>
      <c r="G15" s="130">
        <v>38145</v>
      </c>
      <c r="H15" s="131">
        <f t="shared" si="0"/>
        <v>2</v>
      </c>
      <c r="I15" s="106"/>
    </row>
    <row r="16" spans="1:9" ht="23.25" x14ac:dyDescent="0.7">
      <c r="A16" s="132">
        <v>70</v>
      </c>
      <c r="B16" s="130" t="s">
        <v>33</v>
      </c>
      <c r="C16" s="132">
        <v>47511635</v>
      </c>
      <c r="D16" s="132">
        <v>35381.199999999997</v>
      </c>
      <c r="E16" s="132"/>
      <c r="F16" s="135"/>
      <c r="G16" s="130">
        <v>35381.199999999997</v>
      </c>
      <c r="H16" s="131">
        <f t="shared" si="0"/>
        <v>0</v>
      </c>
      <c r="I16" s="106"/>
    </row>
    <row r="17" spans="1:9" ht="23.25" x14ac:dyDescent="0.7">
      <c r="A17" s="132">
        <v>71</v>
      </c>
      <c r="B17" s="130" t="s">
        <v>33</v>
      </c>
      <c r="C17" s="132">
        <v>4260700</v>
      </c>
      <c r="D17" s="132">
        <v>179707</v>
      </c>
      <c r="E17" s="132"/>
      <c r="F17" s="135"/>
      <c r="G17" s="130">
        <v>179707</v>
      </c>
      <c r="H17" s="131">
        <f t="shared" si="0"/>
        <v>0</v>
      </c>
      <c r="I17" s="106"/>
    </row>
    <row r="18" spans="1:9" ht="23.25" x14ac:dyDescent="0.7">
      <c r="A18" s="132">
        <v>72</v>
      </c>
      <c r="B18" s="130" t="s">
        <v>33</v>
      </c>
      <c r="C18" s="132">
        <v>46886909</v>
      </c>
      <c r="D18" s="132">
        <v>103115.8</v>
      </c>
      <c r="E18" s="132"/>
      <c r="F18" s="135"/>
      <c r="G18" s="130">
        <v>103121.8</v>
      </c>
      <c r="H18" s="131">
        <f t="shared" si="0"/>
        <v>6</v>
      </c>
      <c r="I18" s="106"/>
    </row>
    <row r="19" spans="1:9" ht="23.25" x14ac:dyDescent="0.7">
      <c r="A19" s="132">
        <v>73</v>
      </c>
      <c r="B19" s="130" t="s">
        <v>33</v>
      </c>
      <c r="C19" s="132">
        <v>47369448</v>
      </c>
      <c r="D19" s="132">
        <v>18870</v>
      </c>
      <c r="E19" s="132"/>
      <c r="F19" s="135"/>
      <c r="G19" s="130">
        <v>18870</v>
      </c>
      <c r="H19" s="131">
        <f t="shared" si="0"/>
        <v>0</v>
      </c>
      <c r="I19" s="106"/>
    </row>
    <row r="20" spans="1:9" ht="23.25" x14ac:dyDescent="0.7">
      <c r="A20" s="132">
        <v>74</v>
      </c>
      <c r="B20" s="130" t="s">
        <v>33</v>
      </c>
      <c r="C20" s="132">
        <v>47511330</v>
      </c>
      <c r="D20" s="132">
        <v>72558.399999999994</v>
      </c>
      <c r="E20" s="132"/>
      <c r="F20" s="135"/>
      <c r="G20" s="130">
        <v>72558.399999999994</v>
      </c>
      <c r="H20" s="131">
        <f t="shared" si="0"/>
        <v>0</v>
      </c>
      <c r="I20" s="106"/>
    </row>
    <row r="21" spans="1:9" ht="23.25" x14ac:dyDescent="0.7">
      <c r="A21" s="132">
        <v>75</v>
      </c>
      <c r="B21" s="130" t="s">
        <v>33</v>
      </c>
      <c r="C21" s="132">
        <v>42607467</v>
      </c>
      <c r="D21" s="132">
        <v>12607</v>
      </c>
      <c r="E21" s="132"/>
      <c r="F21" s="135"/>
      <c r="G21" s="130">
        <v>12608</v>
      </c>
      <c r="H21" s="131">
        <f t="shared" si="0"/>
        <v>1</v>
      </c>
      <c r="I21" s="106"/>
    </row>
    <row r="22" spans="1:9" ht="23.25" x14ac:dyDescent="0.7">
      <c r="A22" s="132">
        <v>82</v>
      </c>
      <c r="B22" s="130"/>
      <c r="C22" s="132">
        <v>91733392</v>
      </c>
      <c r="D22" s="132">
        <v>0</v>
      </c>
      <c r="E22" s="132"/>
      <c r="F22" s="135"/>
      <c r="G22" s="130">
        <v>274.60000000000002</v>
      </c>
      <c r="H22" s="131">
        <f t="shared" si="0"/>
        <v>274.60000000000002</v>
      </c>
      <c r="I22" s="106"/>
    </row>
    <row r="23" spans="1:9" ht="23.25" x14ac:dyDescent="0.7">
      <c r="A23" s="132">
        <v>87</v>
      </c>
      <c r="B23" s="130" t="s">
        <v>33</v>
      </c>
      <c r="C23" s="132">
        <v>67021344</v>
      </c>
      <c r="D23" s="132">
        <v>30522</v>
      </c>
      <c r="E23" s="132"/>
      <c r="F23" s="135"/>
      <c r="G23" s="130">
        <v>30522</v>
      </c>
      <c r="H23" s="131">
        <f t="shared" si="0"/>
        <v>0</v>
      </c>
      <c r="I23" s="106"/>
    </row>
    <row r="24" spans="1:9" ht="23.25" x14ac:dyDescent="0.7">
      <c r="A24" s="132">
        <v>88</v>
      </c>
      <c r="B24" s="130" t="s">
        <v>33</v>
      </c>
      <c r="C24" s="132">
        <v>67021354</v>
      </c>
      <c r="D24" s="132">
        <v>42174</v>
      </c>
      <c r="E24" s="132"/>
      <c r="F24" s="135"/>
      <c r="G24" s="130">
        <v>42174</v>
      </c>
      <c r="H24" s="131">
        <f t="shared" si="0"/>
        <v>0</v>
      </c>
      <c r="I24" s="106"/>
    </row>
    <row r="25" spans="1:9" ht="23.25" x14ac:dyDescent="0.7">
      <c r="A25" s="132">
        <v>89</v>
      </c>
      <c r="B25" s="130" t="s">
        <v>33</v>
      </c>
      <c r="C25" s="132">
        <v>91546861</v>
      </c>
      <c r="D25" s="132">
        <v>0</v>
      </c>
      <c r="E25" s="132"/>
      <c r="F25" s="135"/>
      <c r="G25" s="130">
        <v>101.9</v>
      </c>
      <c r="H25" s="131">
        <f t="shared" si="0"/>
        <v>101.9</v>
      </c>
      <c r="I25" s="106"/>
    </row>
    <row r="26" spans="1:9" ht="23.25" x14ac:dyDescent="0.7">
      <c r="A26" s="132">
        <v>90</v>
      </c>
      <c r="B26" s="130" t="s">
        <v>33</v>
      </c>
      <c r="C26" s="132">
        <v>66599353</v>
      </c>
      <c r="D26" s="132">
        <v>0</v>
      </c>
      <c r="E26" s="132"/>
      <c r="F26" s="135"/>
      <c r="G26" s="130">
        <v>47842.5</v>
      </c>
      <c r="H26" s="131">
        <f t="shared" si="0"/>
        <v>47842.5</v>
      </c>
      <c r="I26" s="106"/>
    </row>
    <row r="27" spans="1:9" ht="23.25" x14ac:dyDescent="0.7">
      <c r="A27" s="132">
        <v>91</v>
      </c>
      <c r="B27" s="130" t="s">
        <v>33</v>
      </c>
      <c r="C27" s="132">
        <v>87778411</v>
      </c>
      <c r="D27" s="132">
        <v>0</v>
      </c>
      <c r="E27" s="132"/>
      <c r="F27" s="135"/>
      <c r="G27" s="130">
        <v>54.7</v>
      </c>
      <c r="H27" s="131">
        <f t="shared" si="0"/>
        <v>54.7</v>
      </c>
      <c r="I27" s="106"/>
    </row>
    <row r="28" spans="1:9" ht="23.25" x14ac:dyDescent="0.7">
      <c r="A28" s="132">
        <v>92</v>
      </c>
      <c r="B28" s="130" t="s">
        <v>33</v>
      </c>
      <c r="C28" s="132">
        <v>67573171</v>
      </c>
      <c r="D28" s="132">
        <v>55276.2</v>
      </c>
      <c r="E28" s="132"/>
      <c r="F28" s="135"/>
      <c r="G28" s="130">
        <v>55295.6</v>
      </c>
      <c r="H28" s="131">
        <f t="shared" si="0"/>
        <v>19.400000000001455</v>
      </c>
      <c r="I28" s="106"/>
    </row>
    <row r="29" spans="1:9" ht="23.25" x14ac:dyDescent="0.7">
      <c r="A29" s="130">
        <v>93</v>
      </c>
      <c r="B29" s="130" t="s">
        <v>1188</v>
      </c>
      <c r="C29" s="130">
        <v>90007553</v>
      </c>
      <c r="D29" s="130">
        <v>1076.4000000000001</v>
      </c>
      <c r="E29" s="130"/>
      <c r="F29" s="135"/>
      <c r="G29" s="130">
        <v>1234.5</v>
      </c>
      <c r="H29" s="131">
        <f t="shared" si="0"/>
        <v>158.09999999999991</v>
      </c>
      <c r="I29" s="106"/>
    </row>
    <row r="30" spans="1:9" ht="23.25" x14ac:dyDescent="0.7">
      <c r="A30" s="132">
        <v>94</v>
      </c>
      <c r="B30" s="130" t="s">
        <v>33</v>
      </c>
      <c r="C30" s="132">
        <v>67573207</v>
      </c>
      <c r="D30" s="132">
        <v>26813.1</v>
      </c>
      <c r="E30" s="132"/>
      <c r="F30" s="135"/>
      <c r="G30" s="130">
        <v>26832.799999999999</v>
      </c>
      <c r="H30" s="131">
        <f t="shared" si="0"/>
        <v>19.700000000000728</v>
      </c>
      <c r="I30" s="106"/>
    </row>
    <row r="31" spans="1:9" ht="23.25" x14ac:dyDescent="0.7">
      <c r="A31" s="130">
        <v>95</v>
      </c>
      <c r="B31" s="130" t="s">
        <v>1188</v>
      </c>
      <c r="C31" s="130">
        <v>42607759</v>
      </c>
      <c r="D31" s="130">
        <v>26313</v>
      </c>
      <c r="E31" s="130"/>
      <c r="F31" s="135"/>
      <c r="G31" s="130">
        <v>139657</v>
      </c>
      <c r="H31" s="131">
        <f t="shared" si="0"/>
        <v>113344</v>
      </c>
      <c r="I31" s="106"/>
    </row>
    <row r="32" spans="1:9" ht="23.25" x14ac:dyDescent="0.7">
      <c r="A32" s="132">
        <v>96</v>
      </c>
      <c r="B32" s="130" t="s">
        <v>33</v>
      </c>
      <c r="C32" s="132">
        <v>67573298</v>
      </c>
      <c r="D32" s="132">
        <v>16956.2</v>
      </c>
      <c r="E32" s="132"/>
      <c r="F32" s="135"/>
      <c r="G32" s="130">
        <v>16978.099999999999</v>
      </c>
      <c r="H32" s="131">
        <f t="shared" si="0"/>
        <v>21.899999999997817</v>
      </c>
      <c r="I32" s="106"/>
    </row>
    <row r="33" spans="1:9" ht="23.25" x14ac:dyDescent="0.7">
      <c r="A33" s="130">
        <v>97</v>
      </c>
      <c r="B33" s="130" t="s">
        <v>1188</v>
      </c>
      <c r="C33" s="130">
        <v>67573203</v>
      </c>
      <c r="D33" s="130">
        <v>36948.800000000003</v>
      </c>
      <c r="E33" s="130"/>
      <c r="F33" s="135"/>
      <c r="G33" s="130">
        <v>36948.800000000003</v>
      </c>
      <c r="H33" s="131">
        <f t="shared" si="0"/>
        <v>0</v>
      </c>
      <c r="I33" s="106"/>
    </row>
    <row r="34" spans="1:9" ht="23.25" x14ac:dyDescent="0.7">
      <c r="A34" s="132">
        <v>98</v>
      </c>
      <c r="B34" s="130" t="s">
        <v>33</v>
      </c>
      <c r="C34" s="132">
        <v>67573191</v>
      </c>
      <c r="D34" s="132">
        <v>43330.5</v>
      </c>
      <c r="E34" s="132"/>
      <c r="F34" s="135"/>
      <c r="G34" s="130">
        <v>43364.7</v>
      </c>
      <c r="H34" s="131">
        <f t="shared" si="0"/>
        <v>34.19999999999709</v>
      </c>
      <c r="I34" s="106"/>
    </row>
    <row r="35" spans="1:9" ht="23.25" x14ac:dyDescent="0.7">
      <c r="A35" s="130">
        <v>99</v>
      </c>
      <c r="B35" s="130" t="s">
        <v>1188</v>
      </c>
      <c r="C35" s="130">
        <v>67572944</v>
      </c>
      <c r="D35" s="130">
        <v>21735.7</v>
      </c>
      <c r="E35" s="130"/>
      <c r="F35" s="135"/>
      <c r="G35" s="130">
        <v>21789.1</v>
      </c>
      <c r="H35" s="131">
        <f t="shared" ref="H35:H55" si="1">G35-D35</f>
        <v>53.399999999997817</v>
      </c>
      <c r="I35" s="106"/>
    </row>
    <row r="36" spans="1:9" ht="23.25" x14ac:dyDescent="0.7">
      <c r="A36" s="132">
        <v>100</v>
      </c>
      <c r="B36" s="130" t="s">
        <v>33</v>
      </c>
      <c r="C36" s="132">
        <v>67573201</v>
      </c>
      <c r="D36" s="132">
        <v>28815.3</v>
      </c>
      <c r="E36" s="132"/>
      <c r="F36" s="135"/>
      <c r="G36" s="130">
        <v>28847.1</v>
      </c>
      <c r="H36" s="131">
        <f t="shared" si="1"/>
        <v>31.799999999999272</v>
      </c>
      <c r="I36" s="106"/>
    </row>
    <row r="37" spans="1:9" ht="23.25" x14ac:dyDescent="0.7">
      <c r="A37" s="130">
        <v>101</v>
      </c>
      <c r="B37" s="130" t="s">
        <v>1188</v>
      </c>
      <c r="C37" s="130">
        <v>67021339</v>
      </c>
      <c r="D37" s="130">
        <v>30210.7</v>
      </c>
      <c r="E37" s="130"/>
      <c r="F37" s="135"/>
      <c r="G37" s="130">
        <v>30259.5</v>
      </c>
      <c r="H37" s="131">
        <f t="shared" si="1"/>
        <v>48.799999999999272</v>
      </c>
      <c r="I37" s="106"/>
    </row>
    <row r="38" spans="1:9" ht="23.25" x14ac:dyDescent="0.7">
      <c r="A38" s="132">
        <v>102</v>
      </c>
      <c r="B38" s="130" t="s">
        <v>33</v>
      </c>
      <c r="C38" s="132">
        <v>90008040</v>
      </c>
      <c r="D38" s="132">
        <v>1849.3</v>
      </c>
      <c r="E38" s="132"/>
      <c r="F38" s="135"/>
      <c r="G38" s="130">
        <v>1881.8</v>
      </c>
      <c r="H38" s="131">
        <f t="shared" si="1"/>
        <v>32.5</v>
      </c>
      <c r="I38" s="106"/>
    </row>
    <row r="39" spans="1:9" ht="23.25" x14ac:dyDescent="0.7">
      <c r="A39" s="130">
        <v>103</v>
      </c>
      <c r="B39" s="130" t="s">
        <v>1188</v>
      </c>
      <c r="C39" s="130">
        <v>46886935</v>
      </c>
      <c r="D39" s="130">
        <v>82275</v>
      </c>
      <c r="E39" s="130"/>
      <c r="F39" s="135"/>
      <c r="G39" s="130">
        <v>82330</v>
      </c>
      <c r="H39" s="131">
        <f t="shared" si="1"/>
        <v>55</v>
      </c>
      <c r="I39" s="106"/>
    </row>
    <row r="40" spans="1:9" ht="23.25" x14ac:dyDescent="0.7">
      <c r="A40" s="130">
        <v>105</v>
      </c>
      <c r="B40" s="130" t="s">
        <v>1188</v>
      </c>
      <c r="C40" s="130">
        <v>67572955</v>
      </c>
      <c r="D40" s="130">
        <v>28976.3</v>
      </c>
      <c r="E40" s="130"/>
      <c r="F40" s="135"/>
      <c r="G40" s="130">
        <v>29012.7</v>
      </c>
      <c r="H40" s="131">
        <f t="shared" si="1"/>
        <v>36.400000000001455</v>
      </c>
      <c r="I40" s="106"/>
    </row>
    <row r="41" spans="1:9" ht="23.25" x14ac:dyDescent="0.7">
      <c r="A41" s="130">
        <v>107</v>
      </c>
      <c r="B41" s="130" t="s">
        <v>1188</v>
      </c>
      <c r="C41" s="130">
        <v>42607429</v>
      </c>
      <c r="D41" s="130">
        <v>19376</v>
      </c>
      <c r="E41" s="130"/>
      <c r="F41" s="135"/>
      <c r="G41" s="130"/>
      <c r="H41" s="131">
        <f t="shared" si="1"/>
        <v>-19376</v>
      </c>
      <c r="I41" s="106" t="s">
        <v>1189</v>
      </c>
    </row>
    <row r="42" spans="1:9" ht="23.25" x14ac:dyDescent="0.7">
      <c r="A42" s="130">
        <v>109</v>
      </c>
      <c r="B42" s="130" t="s">
        <v>1188</v>
      </c>
      <c r="C42" s="130">
        <v>67021338</v>
      </c>
      <c r="D42" s="130">
        <v>29281.599999999999</v>
      </c>
      <c r="E42" s="130"/>
      <c r="F42" s="135"/>
      <c r="G42" s="130">
        <v>29406.1</v>
      </c>
      <c r="H42" s="131">
        <f t="shared" si="1"/>
        <v>124.5</v>
      </c>
      <c r="I42" s="106" t="s">
        <v>1189</v>
      </c>
    </row>
    <row r="43" spans="1:9" ht="23.25" x14ac:dyDescent="0.7">
      <c r="A43" s="130">
        <v>111</v>
      </c>
      <c r="B43" s="130" t="s">
        <v>1188</v>
      </c>
      <c r="C43" s="130">
        <v>42607771</v>
      </c>
      <c r="D43" s="130">
        <v>5509</v>
      </c>
      <c r="E43" s="130"/>
      <c r="F43" s="135"/>
      <c r="G43" s="130">
        <v>5516</v>
      </c>
      <c r="H43" s="131">
        <f t="shared" si="1"/>
        <v>7</v>
      </c>
      <c r="I43" s="106" t="s">
        <v>1189</v>
      </c>
    </row>
    <row r="44" spans="1:9" ht="23.25" x14ac:dyDescent="0.7">
      <c r="A44" s="130">
        <v>113</v>
      </c>
      <c r="B44" s="130" t="s">
        <v>1188</v>
      </c>
      <c r="C44" s="130">
        <v>67573205</v>
      </c>
      <c r="D44" s="130">
        <v>38016.9</v>
      </c>
      <c r="E44" s="130"/>
      <c r="F44" s="135"/>
      <c r="G44" s="130">
        <v>38086</v>
      </c>
      <c r="H44" s="131">
        <f t="shared" si="1"/>
        <v>69.099999999998545</v>
      </c>
      <c r="I44" s="106" t="s">
        <v>1189</v>
      </c>
    </row>
    <row r="45" spans="1:9" ht="23.25" x14ac:dyDescent="0.7">
      <c r="A45" s="130">
        <v>115</v>
      </c>
      <c r="B45" s="130" t="s">
        <v>1188</v>
      </c>
      <c r="C45" s="130">
        <v>67573265</v>
      </c>
      <c r="D45" s="130">
        <v>71144.2</v>
      </c>
      <c r="E45" s="130"/>
      <c r="F45" s="135"/>
      <c r="G45" s="130">
        <v>71214.8</v>
      </c>
      <c r="H45" s="131">
        <f t="shared" si="1"/>
        <v>70.600000000005821</v>
      </c>
      <c r="I45" s="106" t="s">
        <v>1189</v>
      </c>
    </row>
    <row r="46" spans="1:9" ht="23.25" x14ac:dyDescent="0.7">
      <c r="A46" s="130">
        <v>117</v>
      </c>
      <c r="B46" s="130" t="s">
        <v>1188</v>
      </c>
      <c r="C46" s="130">
        <v>66599401</v>
      </c>
      <c r="D46" s="130">
        <v>63803.5</v>
      </c>
      <c r="E46" s="130"/>
      <c r="F46" s="135"/>
      <c r="G46" s="130">
        <v>63860.4</v>
      </c>
      <c r="H46" s="131">
        <f t="shared" si="1"/>
        <v>56.900000000001455</v>
      </c>
      <c r="I46" s="106" t="s">
        <v>1189</v>
      </c>
    </row>
    <row r="47" spans="1:9" ht="23.25" x14ac:dyDescent="0.7">
      <c r="A47" s="130">
        <v>119</v>
      </c>
      <c r="B47" s="130" t="s">
        <v>1188</v>
      </c>
      <c r="C47" s="130">
        <v>67573188</v>
      </c>
      <c r="D47" s="130">
        <v>29124.2</v>
      </c>
      <c r="E47" s="130"/>
      <c r="F47" s="135"/>
      <c r="G47" s="130">
        <v>29208.6</v>
      </c>
      <c r="H47" s="131">
        <f t="shared" si="1"/>
        <v>84.399999999997817</v>
      </c>
      <c r="I47" s="106" t="s">
        <v>1189</v>
      </c>
    </row>
    <row r="48" spans="1:9" ht="23.25" x14ac:dyDescent="0.7">
      <c r="A48" s="130">
        <v>121</v>
      </c>
      <c r="B48" s="130" t="s">
        <v>1188</v>
      </c>
      <c r="C48" s="130">
        <v>84039773</v>
      </c>
      <c r="D48" s="130">
        <v>9600.1</v>
      </c>
      <c r="E48" s="130"/>
      <c r="F48" s="135"/>
      <c r="G48" s="130">
        <v>9668.1</v>
      </c>
      <c r="H48" s="131">
        <f t="shared" si="1"/>
        <v>68</v>
      </c>
      <c r="I48" s="106" t="s">
        <v>1189</v>
      </c>
    </row>
    <row r="49" spans="1:9" ht="23.25" x14ac:dyDescent="0.7">
      <c r="A49" s="130">
        <v>123</v>
      </c>
      <c r="B49" s="130" t="s">
        <v>1188</v>
      </c>
      <c r="C49" s="130">
        <v>67573376</v>
      </c>
      <c r="D49" s="130">
        <v>89289.8</v>
      </c>
      <c r="E49" s="130"/>
      <c r="F49" s="135"/>
      <c r="G49" s="130">
        <v>89352.7</v>
      </c>
      <c r="H49" s="131">
        <f t="shared" si="1"/>
        <v>62.899999999994179</v>
      </c>
      <c r="I49" s="106" t="s">
        <v>1189</v>
      </c>
    </row>
    <row r="50" spans="1:9" ht="23.25" x14ac:dyDescent="0.7">
      <c r="A50" s="130">
        <v>125</v>
      </c>
      <c r="B50" s="130" t="s">
        <v>1188</v>
      </c>
      <c r="C50" s="130">
        <v>67573196</v>
      </c>
      <c r="D50" s="130">
        <v>89182.7</v>
      </c>
      <c r="E50" s="130"/>
      <c r="F50" s="135"/>
      <c r="G50" s="130">
        <v>89225.2</v>
      </c>
      <c r="H50" s="131">
        <f t="shared" si="1"/>
        <v>42.5</v>
      </c>
      <c r="I50" s="106" t="s">
        <v>1189</v>
      </c>
    </row>
    <row r="51" spans="1:9" ht="23.25" x14ac:dyDescent="0.7">
      <c r="A51" s="130">
        <v>127</v>
      </c>
      <c r="B51" s="130" t="s">
        <v>1188</v>
      </c>
      <c r="C51" s="130">
        <v>67573307</v>
      </c>
      <c r="D51" s="130">
        <v>25290.799999999999</v>
      </c>
      <c r="E51" s="130"/>
      <c r="F51" s="135"/>
      <c r="G51" s="130">
        <v>25372.1</v>
      </c>
      <c r="H51" s="131">
        <f t="shared" si="1"/>
        <v>81.299999999999272</v>
      </c>
      <c r="I51" s="106" t="s">
        <v>1189</v>
      </c>
    </row>
    <row r="52" spans="1:9" ht="23.25" x14ac:dyDescent="0.7">
      <c r="A52" s="130">
        <v>145</v>
      </c>
      <c r="B52" s="130"/>
      <c r="C52" s="130">
        <v>84039773</v>
      </c>
      <c r="D52" s="130" t="s">
        <v>1190</v>
      </c>
      <c r="E52" s="130"/>
      <c r="F52" s="135">
        <v>46219</v>
      </c>
      <c r="G52" s="130">
        <v>9991.2000000000007</v>
      </c>
      <c r="H52" s="131" t="e">
        <f t="shared" si="1"/>
        <v>#VALUE!</v>
      </c>
      <c r="I52" s="106"/>
    </row>
    <row r="53" spans="1:9" ht="23.25" x14ac:dyDescent="0.7">
      <c r="A53" s="130">
        <v>163</v>
      </c>
      <c r="B53" s="130" t="s">
        <v>1188</v>
      </c>
      <c r="C53" s="130">
        <v>70694930</v>
      </c>
      <c r="D53" s="130">
        <v>35892.800000000003</v>
      </c>
      <c r="E53" s="130"/>
      <c r="F53" s="135">
        <v>46220</v>
      </c>
      <c r="G53" s="130">
        <v>36164.5</v>
      </c>
      <c r="H53" s="131">
        <f t="shared" si="1"/>
        <v>271.69999999999709</v>
      </c>
      <c r="I53" s="106"/>
    </row>
    <row r="54" spans="1:9" ht="23.25" x14ac:dyDescent="0.7">
      <c r="A54" s="130">
        <v>186</v>
      </c>
      <c r="B54" s="133"/>
      <c r="C54" s="130">
        <v>91546036</v>
      </c>
      <c r="D54" s="130">
        <v>0</v>
      </c>
      <c r="E54" s="130"/>
      <c r="F54" s="135"/>
      <c r="G54" s="130">
        <v>488.5</v>
      </c>
      <c r="H54" s="131">
        <f t="shared" si="1"/>
        <v>488.5</v>
      </c>
      <c r="I54" s="106" t="s">
        <v>1189</v>
      </c>
    </row>
    <row r="55" spans="1:9" ht="23.25" x14ac:dyDescent="0.7">
      <c r="A55" s="130">
        <v>179</v>
      </c>
      <c r="B55" s="133"/>
      <c r="C55" s="130">
        <v>91546509</v>
      </c>
      <c r="D55" s="133">
        <v>0</v>
      </c>
      <c r="E55" s="133"/>
      <c r="F55" s="135"/>
      <c r="G55" s="130">
        <v>649.9</v>
      </c>
      <c r="H55" s="131">
        <f t="shared" si="1"/>
        <v>649.9</v>
      </c>
      <c r="I55" s="106" t="s">
        <v>1189</v>
      </c>
    </row>
    <row r="56" spans="1:9" ht="18" x14ac:dyDescent="0.3">
      <c r="H56" s="149">
        <f>SUM(H53:H55)</f>
        <v>1410.0999999999972</v>
      </c>
    </row>
  </sheetData>
  <sortState xmlns:xlrd2="http://schemas.microsoft.com/office/spreadsheetml/2017/richdata2" ref="A2:H53">
    <sortCondition ref="A2:A53"/>
  </sortState>
  <dataValidations count="1">
    <dataValidation type="list" allowBlank="1" showInputMessage="1" showErrorMessage="1" sqref="I1:I1048576 E1:E1048576 F56:F1048576" xr:uid="{2C5E24F2-5EB5-480F-A2A4-FF792E3FE22F}">
      <formula1>"Yes"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F51D9-DC2A-407D-9B2E-297FBBC4C6A6}">
  <dimension ref="A1:I24"/>
  <sheetViews>
    <sheetView zoomScale="85" zoomScaleNormal="85" workbookViewId="0">
      <selection activeCell="B30" sqref="B30"/>
    </sheetView>
  </sheetViews>
  <sheetFormatPr defaultRowHeight="13.5" x14ac:dyDescent="0.3"/>
  <cols>
    <col min="1" max="1" width="17" bestFit="1" customWidth="1"/>
    <col min="2" max="2" width="23.53125" bestFit="1" customWidth="1"/>
    <col min="3" max="3" width="15.53125" bestFit="1" customWidth="1"/>
    <col min="4" max="4" width="19.9296875" bestFit="1" customWidth="1"/>
    <col min="5" max="5" width="31.265625" bestFit="1" customWidth="1"/>
    <col min="6" max="6" width="18.06640625" bestFit="1" customWidth="1"/>
    <col min="7" max="7" width="21" bestFit="1" customWidth="1"/>
    <col min="8" max="8" width="20.33203125" bestFit="1" customWidth="1"/>
    <col min="9" max="9" width="22.86328125" bestFit="1" customWidth="1"/>
  </cols>
  <sheetData>
    <row r="1" spans="1:9" ht="18" x14ac:dyDescent="0.3">
      <c r="A1" s="1" t="s">
        <v>0</v>
      </c>
      <c r="B1" s="54" t="s">
        <v>1310</v>
      </c>
      <c r="C1" s="1" t="s">
        <v>5</v>
      </c>
      <c r="D1" s="1" t="s">
        <v>278</v>
      </c>
      <c r="E1" s="55" t="s">
        <v>279</v>
      </c>
      <c r="F1" s="67" t="s">
        <v>282</v>
      </c>
      <c r="G1" s="1" t="s">
        <v>283</v>
      </c>
      <c r="H1" s="1" t="s">
        <v>1293</v>
      </c>
      <c r="I1" s="1" t="s">
        <v>1294</v>
      </c>
    </row>
    <row r="2" spans="1:9" ht="18" x14ac:dyDescent="0.55000000000000004">
      <c r="A2" s="23" t="s">
        <v>180</v>
      </c>
      <c r="B2" s="143">
        <v>9898003</v>
      </c>
      <c r="C2" s="53" t="s">
        <v>285</v>
      </c>
      <c r="D2" s="3">
        <v>7.4999999999999997E-2</v>
      </c>
      <c r="E2" s="57">
        <v>46168</v>
      </c>
      <c r="F2" s="21" t="b">
        <v>1</v>
      </c>
      <c r="G2" s="57">
        <v>46206</v>
      </c>
      <c r="H2" s="53" t="s">
        <v>339</v>
      </c>
      <c r="I2" s="142">
        <v>7.4999999999999997E-2</v>
      </c>
    </row>
    <row r="3" spans="1:9" ht="18" x14ac:dyDescent="0.55000000000000004">
      <c r="A3" s="23" t="s">
        <v>145</v>
      </c>
      <c r="B3" s="143">
        <v>9898037</v>
      </c>
      <c r="C3" s="53" t="s">
        <v>285</v>
      </c>
      <c r="D3" s="3">
        <v>6.8000000000000005E-2</v>
      </c>
      <c r="E3" s="57">
        <v>46142</v>
      </c>
      <c r="F3" s="21" t="b">
        <v>1</v>
      </c>
      <c r="G3" s="57">
        <v>46206</v>
      </c>
      <c r="H3" s="53" t="s">
        <v>341</v>
      </c>
      <c r="I3" s="142">
        <v>6.8000000000000005E-2</v>
      </c>
    </row>
    <row r="4" spans="1:9" ht="18" x14ac:dyDescent="0.55000000000000004">
      <c r="A4" s="23" t="s">
        <v>78</v>
      </c>
      <c r="B4" s="143">
        <v>9898001</v>
      </c>
      <c r="C4" s="53" t="s">
        <v>285</v>
      </c>
      <c r="D4" s="3">
        <v>9.0999999999999998E-2</v>
      </c>
      <c r="E4" s="57">
        <v>46168</v>
      </c>
      <c r="F4" s="21" t="b">
        <v>1</v>
      </c>
      <c r="G4" s="57">
        <v>46206</v>
      </c>
      <c r="H4" s="53" t="s">
        <v>349</v>
      </c>
      <c r="I4" s="142">
        <v>9.0999999999999998E-2</v>
      </c>
    </row>
    <row r="5" spans="1:9" ht="18" x14ac:dyDescent="0.55000000000000004">
      <c r="A5" s="23" t="s">
        <v>200</v>
      </c>
      <c r="B5" s="144">
        <v>10172140</v>
      </c>
      <c r="C5" s="53" t="s">
        <v>285</v>
      </c>
      <c r="D5" s="3">
        <v>8.5999999999999993E-2</v>
      </c>
      <c r="E5" s="57">
        <v>46161</v>
      </c>
      <c r="F5" s="21" t="b">
        <v>1</v>
      </c>
      <c r="G5" s="57">
        <v>46210</v>
      </c>
      <c r="H5" s="141">
        <v>10192054</v>
      </c>
      <c r="I5" s="142">
        <v>0.06</v>
      </c>
    </row>
    <row r="6" spans="1:9" ht="18" x14ac:dyDescent="0.55000000000000004">
      <c r="A6" s="23" t="s">
        <v>96</v>
      </c>
      <c r="B6" s="145">
        <v>10172252</v>
      </c>
      <c r="C6" s="53" t="s">
        <v>285</v>
      </c>
      <c r="D6" s="3">
        <v>9.6000000000000002E-2</v>
      </c>
      <c r="E6" s="57">
        <v>46177</v>
      </c>
      <c r="F6" s="21" t="b">
        <v>1</v>
      </c>
      <c r="G6" s="57">
        <v>46216</v>
      </c>
      <c r="H6" s="53" t="s">
        <v>326</v>
      </c>
      <c r="I6" s="142">
        <v>9.6000000000000002E-2</v>
      </c>
    </row>
    <row r="7" spans="1:9" ht="18" x14ac:dyDescent="0.55000000000000004">
      <c r="A7" s="23" t="s">
        <v>202</v>
      </c>
      <c r="B7" s="143">
        <v>10172132</v>
      </c>
      <c r="C7" s="53" t="s">
        <v>285</v>
      </c>
      <c r="D7" s="3">
        <v>8.5999999999999993E-2</v>
      </c>
      <c r="E7" s="57">
        <v>46161</v>
      </c>
      <c r="F7" s="21" t="b">
        <v>1</v>
      </c>
      <c r="G7" s="57">
        <v>46216</v>
      </c>
      <c r="H7" s="53" t="s">
        <v>334</v>
      </c>
      <c r="I7" s="142">
        <v>8.5999999999999993E-2</v>
      </c>
    </row>
    <row r="8" spans="1:9" ht="18" x14ac:dyDescent="0.55000000000000004">
      <c r="A8" s="23" t="s">
        <v>179</v>
      </c>
      <c r="B8" s="143">
        <v>9897912</v>
      </c>
      <c r="C8" s="53" t="s">
        <v>285</v>
      </c>
      <c r="D8" s="3">
        <v>9.7000000000000003E-2</v>
      </c>
      <c r="E8" s="57">
        <v>46168</v>
      </c>
      <c r="F8" s="21" t="b">
        <v>1</v>
      </c>
      <c r="G8" s="57">
        <v>46216</v>
      </c>
      <c r="H8" s="144" t="s">
        <v>338</v>
      </c>
      <c r="I8" s="142">
        <v>9.7000000000000003E-2</v>
      </c>
    </row>
    <row r="9" spans="1:9" ht="18" x14ac:dyDescent="0.55000000000000004">
      <c r="A9" s="23" t="s">
        <v>165</v>
      </c>
      <c r="B9" s="143">
        <v>9993266</v>
      </c>
      <c r="C9" s="53" t="s">
        <v>285</v>
      </c>
      <c r="D9" s="3">
        <v>7.3999999999999996E-2</v>
      </c>
      <c r="E9" s="57">
        <v>46186</v>
      </c>
      <c r="F9" s="21" t="b">
        <v>1</v>
      </c>
      <c r="G9" s="57">
        <v>46254</v>
      </c>
      <c r="H9" s="53" t="s">
        <v>1273</v>
      </c>
      <c r="I9" s="142">
        <v>0.104</v>
      </c>
    </row>
    <row r="10" spans="1:9" ht="18" x14ac:dyDescent="0.55000000000000004">
      <c r="A10" s="23" t="s">
        <v>170</v>
      </c>
      <c r="B10" s="143">
        <v>10192015</v>
      </c>
      <c r="C10" s="53" t="s">
        <v>285</v>
      </c>
      <c r="D10" s="3">
        <v>0.113</v>
      </c>
      <c r="E10" s="57">
        <v>46186</v>
      </c>
      <c r="F10" s="21" t="b">
        <v>1</v>
      </c>
      <c r="G10" s="57">
        <v>46254</v>
      </c>
      <c r="H10" s="53" t="s">
        <v>1261</v>
      </c>
      <c r="I10" s="142">
        <v>0.113</v>
      </c>
    </row>
    <row r="11" spans="1:9" ht="18" x14ac:dyDescent="0.55000000000000004">
      <c r="A11" s="23" t="s">
        <v>135</v>
      </c>
      <c r="B11" s="143">
        <v>9897914</v>
      </c>
      <c r="C11" s="53" t="s">
        <v>285</v>
      </c>
      <c r="D11" s="3">
        <v>0.10100000000000001</v>
      </c>
      <c r="E11" s="57">
        <v>46182</v>
      </c>
      <c r="F11" s="21" t="b">
        <v>1</v>
      </c>
      <c r="G11" s="57">
        <v>46254</v>
      </c>
      <c r="H11" s="53" t="s">
        <v>1275</v>
      </c>
      <c r="I11" s="142">
        <v>0.10100000000000001</v>
      </c>
    </row>
    <row r="12" spans="1:9" ht="18" x14ac:dyDescent="0.55000000000000004">
      <c r="A12" s="23" t="s">
        <v>72</v>
      </c>
      <c r="B12" s="143">
        <v>10192013</v>
      </c>
      <c r="C12" s="53" t="s">
        <v>285</v>
      </c>
      <c r="D12" s="3">
        <v>0.106</v>
      </c>
      <c r="E12" s="57">
        <v>46186</v>
      </c>
      <c r="F12" s="21" t="b">
        <v>1</v>
      </c>
      <c r="G12" s="57">
        <v>46254</v>
      </c>
      <c r="H12" s="53" t="s">
        <v>1249</v>
      </c>
      <c r="I12" s="142">
        <v>0.106</v>
      </c>
    </row>
    <row r="13" spans="1:9" ht="18" x14ac:dyDescent="0.55000000000000004">
      <c r="A13" s="23" t="s">
        <v>73</v>
      </c>
      <c r="B13" s="143">
        <v>10192019</v>
      </c>
      <c r="C13" s="53" t="s">
        <v>285</v>
      </c>
      <c r="D13" s="3">
        <v>0.104</v>
      </c>
      <c r="E13" s="57">
        <v>46186</v>
      </c>
      <c r="F13" s="21" t="b">
        <v>1</v>
      </c>
      <c r="G13" s="57">
        <v>46254</v>
      </c>
      <c r="H13" s="53" t="s">
        <v>1250</v>
      </c>
      <c r="I13" s="142">
        <v>0.104</v>
      </c>
    </row>
    <row r="14" spans="1:9" ht="18" x14ac:dyDescent="0.55000000000000004">
      <c r="A14" s="23" t="s">
        <v>200</v>
      </c>
      <c r="B14" s="143">
        <v>10192054</v>
      </c>
      <c r="C14" s="53" t="s">
        <v>285</v>
      </c>
      <c r="D14" s="3">
        <v>8.5999999999999993E-2</v>
      </c>
      <c r="E14" s="57">
        <v>46210</v>
      </c>
      <c r="F14" s="21" t="b">
        <v>1</v>
      </c>
      <c r="G14" s="57">
        <v>46258</v>
      </c>
      <c r="H14" s="142">
        <v>10596238</v>
      </c>
      <c r="I14" s="142">
        <v>9.7000000000000003E-2</v>
      </c>
    </row>
    <row r="15" spans="1:9" ht="18" x14ac:dyDescent="0.55000000000000004">
      <c r="A15" s="23" t="s">
        <v>180</v>
      </c>
      <c r="B15" s="144" t="s">
        <v>339</v>
      </c>
      <c r="C15" s="53" t="s">
        <v>285</v>
      </c>
      <c r="D15" s="3">
        <v>7.4999999999999997E-2</v>
      </c>
      <c r="E15" s="57">
        <v>46206</v>
      </c>
      <c r="F15" s="21" t="b">
        <v>1</v>
      </c>
      <c r="G15" s="57">
        <v>46258</v>
      </c>
      <c r="H15" s="53" t="s">
        <v>1296</v>
      </c>
      <c r="I15" s="136">
        <v>0.104</v>
      </c>
    </row>
    <row r="16" spans="1:9" ht="18" x14ac:dyDescent="0.55000000000000004">
      <c r="A16" s="23" t="s">
        <v>243</v>
      </c>
      <c r="B16" s="143">
        <v>10172263</v>
      </c>
      <c r="C16" s="53" t="s">
        <v>285</v>
      </c>
      <c r="D16" s="3">
        <v>10.404</v>
      </c>
      <c r="E16" s="57">
        <v>46171</v>
      </c>
      <c r="F16" s="21" t="b">
        <v>1</v>
      </c>
      <c r="G16" s="57">
        <v>46258</v>
      </c>
      <c r="H16" s="141">
        <v>10596241</v>
      </c>
      <c r="I16" s="142">
        <v>8.5999999999999993E-2</v>
      </c>
    </row>
    <row r="17" spans="1:9" ht="18" x14ac:dyDescent="0.55000000000000004">
      <c r="A17" s="134">
        <v>183</v>
      </c>
      <c r="B17" s="143">
        <v>9993265</v>
      </c>
      <c r="C17" s="144" t="s">
        <v>285</v>
      </c>
      <c r="D17" s="134">
        <v>7.4999999999999997E-2</v>
      </c>
      <c r="E17" s="150">
        <v>46186</v>
      </c>
      <c r="F17" s="151" t="b">
        <v>1</v>
      </c>
      <c r="G17" s="150">
        <v>46273</v>
      </c>
      <c r="H17" s="143">
        <v>10596188</v>
      </c>
      <c r="I17" s="152">
        <v>9.9000000000000005E-2</v>
      </c>
    </row>
    <row r="18" spans="1:9" ht="18" x14ac:dyDescent="0.55000000000000004">
      <c r="A18" s="142">
        <v>188</v>
      </c>
      <c r="B18" s="53" t="s">
        <v>362</v>
      </c>
      <c r="C18" s="53" t="s">
        <v>285</v>
      </c>
      <c r="D18" s="3">
        <v>6.8000000000000005E-2</v>
      </c>
      <c r="E18" s="57">
        <v>46186</v>
      </c>
      <c r="F18" s="151" t="b">
        <v>1</v>
      </c>
      <c r="G18" s="57">
        <v>46273</v>
      </c>
      <c r="H18" s="141">
        <v>10596305</v>
      </c>
      <c r="I18" s="142">
        <v>0.14099999999999999</v>
      </c>
    </row>
    <row r="19" spans="1:9" ht="18" x14ac:dyDescent="0.55000000000000004">
      <c r="A19" s="23" t="s">
        <v>197</v>
      </c>
      <c r="B19" s="53">
        <v>10172255</v>
      </c>
      <c r="C19" s="53" t="s">
        <v>285</v>
      </c>
      <c r="D19" s="3">
        <v>0.10199999999999999</v>
      </c>
      <c r="E19" s="57">
        <v>46161</v>
      </c>
      <c r="F19" s="151" t="b">
        <v>1</v>
      </c>
      <c r="G19" s="57">
        <v>46273</v>
      </c>
      <c r="H19" s="141">
        <v>10596175</v>
      </c>
      <c r="I19" s="142">
        <v>0.14199999999999999</v>
      </c>
    </row>
    <row r="20" spans="1:9" ht="18" x14ac:dyDescent="0.55000000000000004">
      <c r="A20" s="23" t="s">
        <v>253</v>
      </c>
      <c r="B20" s="53" t="s">
        <v>292</v>
      </c>
      <c r="C20" s="53" t="s">
        <v>285</v>
      </c>
      <c r="D20" s="3">
        <v>6.7000000000000004E-2</v>
      </c>
      <c r="E20" s="57">
        <v>46205</v>
      </c>
      <c r="F20" s="151" t="b">
        <v>1</v>
      </c>
      <c r="G20" s="57">
        <v>46273</v>
      </c>
      <c r="H20" s="141">
        <v>10596179</v>
      </c>
      <c r="I20" s="142">
        <v>0.12</v>
      </c>
    </row>
    <row r="21" spans="1:9" ht="18" x14ac:dyDescent="0.55000000000000004">
      <c r="A21" s="23" t="s">
        <v>31</v>
      </c>
      <c r="B21" s="53" t="s">
        <v>302</v>
      </c>
      <c r="C21" s="53" t="s">
        <v>285</v>
      </c>
      <c r="D21" s="3">
        <v>6.8000000000000005E-2</v>
      </c>
      <c r="E21" s="57">
        <v>46204</v>
      </c>
      <c r="F21" s="151" t="b">
        <v>1</v>
      </c>
      <c r="G21" s="57">
        <v>46273</v>
      </c>
      <c r="H21" s="141">
        <v>10596183</v>
      </c>
      <c r="I21" s="142">
        <v>0.111</v>
      </c>
    </row>
    <row r="22" spans="1:9" ht="18" x14ac:dyDescent="0.55000000000000004">
      <c r="A22" s="23" t="s">
        <v>196</v>
      </c>
      <c r="B22" s="53" t="s">
        <v>312</v>
      </c>
      <c r="C22" s="53" t="s">
        <v>285</v>
      </c>
      <c r="D22" s="3">
        <v>8.2000000000000003E-2</v>
      </c>
      <c r="E22" s="57">
        <v>46204</v>
      </c>
      <c r="F22" s="151" t="b">
        <v>1</v>
      </c>
      <c r="G22" s="57">
        <v>46273</v>
      </c>
      <c r="H22" s="141">
        <v>54789019</v>
      </c>
      <c r="I22" s="142">
        <v>0.17499999999999999</v>
      </c>
    </row>
    <row r="23" spans="1:9" ht="18" x14ac:dyDescent="0.55000000000000004">
      <c r="A23" s="142">
        <v>185</v>
      </c>
      <c r="B23" s="53" t="s">
        <v>361</v>
      </c>
      <c r="C23" s="53" t="s">
        <v>285</v>
      </c>
      <c r="D23" s="3">
        <v>6.7000000000000004E-2</v>
      </c>
      <c r="E23" s="57">
        <v>46186</v>
      </c>
      <c r="F23" s="151" t="b">
        <v>1</v>
      </c>
      <c r="G23" s="57">
        <v>46279</v>
      </c>
      <c r="H23" s="141">
        <v>10596176</v>
      </c>
      <c r="I23" s="142">
        <v>0.111</v>
      </c>
    </row>
    <row r="24" spans="1:9" ht="18" x14ac:dyDescent="0.55000000000000004">
      <c r="A24" s="153" t="s">
        <v>259</v>
      </c>
      <c r="B24" s="53" t="s">
        <v>298</v>
      </c>
      <c r="C24" s="53" t="s">
        <v>285</v>
      </c>
      <c r="D24" s="3">
        <v>8.7999999999999995E-2</v>
      </c>
      <c r="E24" s="57">
        <v>46205</v>
      </c>
      <c r="F24" s="151" t="b">
        <v>1</v>
      </c>
      <c r="G24" s="57">
        <v>46279</v>
      </c>
      <c r="H24" s="141">
        <v>10596203</v>
      </c>
      <c r="I24" s="142">
        <v>9.5000000000000001E-2</v>
      </c>
    </row>
  </sheetData>
  <sortState xmlns:xlrd2="http://schemas.microsoft.com/office/spreadsheetml/2017/richdata2" ref="A2:I15">
    <sortCondition ref="G2:G15"/>
  </sortState>
  <conditionalFormatting sqref="A2:A16 A19:A22 A24">
    <cfRule type="duplicateValues" dxfId="20" priority="25"/>
  </conditionalFormatting>
  <conditionalFormatting sqref="B20">
    <cfRule type="duplicateValues" dxfId="19" priority="13"/>
    <cfRule type="duplicateValues" dxfId="18" priority="14"/>
    <cfRule type="duplicateValues" dxfId="17" priority="15"/>
    <cfRule type="duplicateValues" dxfId="16" priority="16"/>
  </conditionalFormatting>
  <conditionalFormatting sqref="B21">
    <cfRule type="duplicateValues" dxfId="15" priority="9"/>
    <cfRule type="duplicateValues" dxfId="14" priority="10"/>
    <cfRule type="duplicateValues" dxfId="13" priority="11"/>
    <cfRule type="duplicateValues" dxfId="12" priority="12"/>
  </conditionalFormatting>
  <conditionalFormatting sqref="B22">
    <cfRule type="duplicateValues" dxfId="11" priority="5"/>
    <cfRule type="duplicateValues" dxfId="10" priority="6"/>
    <cfRule type="duplicateValues" dxfId="9" priority="7"/>
    <cfRule type="duplicateValues" dxfId="8" priority="8"/>
  </conditionalFormatting>
  <conditionalFormatting sqref="B24">
    <cfRule type="duplicateValues" dxfId="7" priority="1"/>
    <cfRule type="duplicateValues" dxfId="6" priority="2"/>
    <cfRule type="duplicateValues" dxfId="5" priority="3"/>
    <cfRule type="duplicateValues" dxfId="4" priority="4"/>
  </conditionalFormatting>
  <conditionalFormatting sqref="H2">
    <cfRule type="duplicateValues" dxfId="3" priority="18"/>
    <cfRule type="duplicateValues" dxfId="2" priority="19"/>
    <cfRule type="duplicateValues" dxfId="1" priority="20"/>
    <cfRule type="duplicateValues" dxfId="0" priority="2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FS Elec</vt:lpstr>
      <vt:lpstr>FS Water</vt:lpstr>
      <vt:lpstr>Aprt Elec</vt:lpstr>
      <vt:lpstr>Aprt Water</vt:lpstr>
      <vt:lpstr>Kiosk Plan</vt:lpstr>
      <vt:lpstr>Temp ME162 open and closings</vt:lpstr>
      <vt:lpstr>Replaced meters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Aldre Fritz</dc:creator>
  <cp:keywords/>
  <dc:description/>
  <cp:lastModifiedBy>Ruan van Heerden</cp:lastModifiedBy>
  <cp:revision/>
  <dcterms:created xsi:type="dcterms:W3CDTF">2026-05-12T07:04:00Z</dcterms:created>
  <dcterms:modified xsi:type="dcterms:W3CDTF">2026-09-17T16:47:28Z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C3EE7A8DB56C4BA1986B1B7CD1F191ED_12</vt:lpwstr>
  </property>
  <property fmtid="{D5CDD505-2E9C-101B-9397-08002B2CF9AE}" pid="3" name="KSOProductBuildVer">
    <vt:lpwstr>2057-12.9.0.21549</vt:lpwstr>
  </property>
</Properties>
</file>