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https://voltano-my.sharepoint.com/personal/ruan_vh_voltano_com/Documents/Desktop/Voltano/Clients/Evergreen/Evergreen Sitari/Site initialization/Freestanding/"/>
    </mc:Choice>
  </mc:AlternateContent>
  <xr:revisionPtr revIDLastSave="1786" documentId="8_{C97FC332-2E41-401D-B97C-40A4EC775E62}" xr6:coauthVersionLast="47" xr6:coauthVersionMax="47" xr10:uidLastSave="{F8CAAA41-BEC5-46C4-8AE4-C6800E696F62}"/>
  <bookViews>
    <workbookView xWindow="43080" yWindow="-2565" windowWidth="29040" windowHeight="15720" xr2:uid="{00000000-000D-0000-FFFF-FFFF00000000}"/>
  </bookViews>
  <sheets>
    <sheet name="Water meters " sheetId="1" r:id="rId1"/>
    <sheet name="Elec Meters" sheetId="4" r:id="rId2"/>
    <sheet name="Kiosk Plan" sheetId="5" r:id="rId3"/>
    <sheet name="Temp ME162 open and closings" sheetId="2" r:id="rId4"/>
    <sheet name="Elec Meters for invoicing" sheetId="6" r:id="rId5"/>
    <sheet name="Water Meters for invoicing" sheetId="7" r:id="rId6"/>
  </sheets>
  <definedNames>
    <definedName name="_xlnm._FilterDatabase" localSheetId="1" hidden="1">'Elec Meters'!$A$1:$L$192</definedName>
    <definedName name="_xlnm._FilterDatabase" localSheetId="0" hidden="1">'Water meters '!$A$1:$I$193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1" i="5" l="1"/>
  <c r="D30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" i="5"/>
  <c r="G30" i="5"/>
  <c r="I29" i="5"/>
  <c r="H29" i="5"/>
  <c r="I28" i="5"/>
  <c r="H28" i="5"/>
  <c r="I27" i="5"/>
  <c r="H27" i="5"/>
  <c r="F29" i="5"/>
  <c r="F28" i="5"/>
  <c r="I26" i="5"/>
  <c r="H26" i="5"/>
  <c r="I25" i="5"/>
  <c r="H25" i="5"/>
  <c r="I24" i="5"/>
  <c r="I23" i="5"/>
  <c r="H23" i="5"/>
  <c r="I22" i="5"/>
  <c r="H22" i="5"/>
  <c r="I21" i="5"/>
  <c r="H21" i="5"/>
  <c r="I20" i="5"/>
  <c r="H20" i="5"/>
  <c r="I19" i="5"/>
  <c r="H19" i="5"/>
  <c r="I18" i="5"/>
  <c r="H18" i="5"/>
  <c r="I17" i="5"/>
  <c r="H17" i="5"/>
  <c r="I16" i="5"/>
  <c r="H16" i="5"/>
  <c r="I15" i="5"/>
  <c r="H15" i="5"/>
  <c r="I14" i="5"/>
  <c r="H14" i="5"/>
  <c r="I13" i="5"/>
  <c r="H13" i="5"/>
  <c r="I12" i="5"/>
  <c r="H12" i="5"/>
  <c r="I11" i="5"/>
  <c r="H11" i="5"/>
  <c r="I10" i="5"/>
  <c r="H10" i="5"/>
  <c r="I9" i="5"/>
  <c r="H9" i="5"/>
  <c r="I8" i="5"/>
  <c r="H8" i="5"/>
  <c r="I7" i="5"/>
  <c r="H7" i="5"/>
  <c r="I6" i="5"/>
  <c r="H6" i="5"/>
  <c r="I5" i="5"/>
  <c r="H5" i="5"/>
  <c r="I4" i="5"/>
  <c r="H4" i="5"/>
  <c r="I3" i="5"/>
  <c r="H3" i="5"/>
  <c r="F27" i="5"/>
  <c r="F26" i="5"/>
  <c r="E26" i="5"/>
  <c r="F25" i="5"/>
  <c r="E25" i="5"/>
  <c r="F24" i="5"/>
  <c r="E24" i="5"/>
  <c r="F23" i="5"/>
  <c r="E23" i="5"/>
  <c r="F22" i="5"/>
  <c r="E22" i="5"/>
  <c r="F21" i="5"/>
  <c r="E21" i="5"/>
  <c r="F20" i="5"/>
  <c r="E20" i="5"/>
  <c r="F19" i="5"/>
  <c r="E19" i="5"/>
  <c r="F18" i="5"/>
  <c r="E18" i="5"/>
  <c r="F17" i="5"/>
  <c r="E17" i="5"/>
  <c r="F16" i="5"/>
  <c r="E16" i="5"/>
  <c r="F15" i="5"/>
  <c r="E15" i="5"/>
  <c r="F14" i="5"/>
  <c r="E14" i="5"/>
  <c r="F13" i="5"/>
  <c r="E13" i="5"/>
  <c r="F12" i="5"/>
  <c r="E12" i="5"/>
  <c r="F11" i="5"/>
  <c r="E11" i="5"/>
  <c r="F10" i="5"/>
  <c r="E10" i="5"/>
  <c r="F9" i="5"/>
  <c r="E9" i="5"/>
  <c r="F8" i="5"/>
  <c r="E8" i="5"/>
  <c r="F7" i="5"/>
  <c r="E7" i="5"/>
  <c r="F6" i="5"/>
  <c r="E6" i="5"/>
  <c r="F5" i="5"/>
  <c r="E5" i="5"/>
  <c r="F4" i="5"/>
  <c r="E4" i="5"/>
  <c r="F3" i="5"/>
  <c r="E3" i="5"/>
  <c r="F37" i="2"/>
  <c r="F35" i="2"/>
  <c r="F33" i="2"/>
  <c r="F31" i="2"/>
  <c r="F27" i="2"/>
  <c r="F29" i="2"/>
  <c r="F26" i="2"/>
  <c r="F25" i="2"/>
  <c r="F24" i="2"/>
  <c r="F22" i="2"/>
  <c r="F23" i="2"/>
  <c r="F14" i="2"/>
  <c r="F16" i="2"/>
  <c r="F18" i="2"/>
  <c r="F19" i="2"/>
  <c r="F21" i="2"/>
  <c r="F17" i="2"/>
  <c r="F20" i="2"/>
  <c r="F15" i="2"/>
  <c r="F5" i="2"/>
  <c r="F6" i="2"/>
  <c r="F8" i="2"/>
  <c r="F10" i="2"/>
  <c r="F12" i="2"/>
  <c r="F13" i="2"/>
  <c r="F11" i="2"/>
  <c r="F9" i="2"/>
  <c r="F7" i="2"/>
  <c r="F3" i="2"/>
  <c r="F4" i="2"/>
  <c r="F28" i="2"/>
  <c r="F30" i="2"/>
  <c r="F32" i="2"/>
  <c r="F34" i="2"/>
  <c r="F36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2" i="2"/>
  <c r="E30" i="5" l="1"/>
  <c r="F30" i="5"/>
  <c r="H30" i="5"/>
  <c r="H31" i="5" s="1"/>
  <c r="I30" i="5"/>
</calcChain>
</file>

<file path=xl/sharedStrings.xml><?xml version="1.0" encoding="utf-8"?>
<sst xmlns="http://schemas.openxmlformats.org/spreadsheetml/2006/main" count="3023" uniqueCount="360">
  <si>
    <t xml:space="preserve">Stand Number </t>
  </si>
  <si>
    <t>Section</t>
  </si>
  <si>
    <t>Meter serial number</t>
  </si>
  <si>
    <t>Manufacturer</t>
  </si>
  <si>
    <t>Meter Model</t>
  </si>
  <si>
    <t>Connection size</t>
  </si>
  <si>
    <t>Opening readings</t>
  </si>
  <si>
    <t xml:space="preserve">Meter Commissioning Date </t>
  </si>
  <si>
    <t>AMR Commissioned</t>
  </si>
  <si>
    <t>001</t>
  </si>
  <si>
    <t>A3</t>
  </si>
  <si>
    <t>Precision</t>
  </si>
  <si>
    <t>Axioma</t>
  </si>
  <si>
    <t>15mm</t>
  </si>
  <si>
    <t>002</t>
  </si>
  <si>
    <t>003</t>
  </si>
  <si>
    <t>B3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</si>
  <si>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</si>
  <si>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</si>
  <si>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</si>
  <si>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</si>
  <si>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</si>
  <si>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</si>
  <si>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</si>
  <si>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</si>
  <si>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</si>
  <si>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</si>
  <si>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</si>
  <si>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</si>
  <si>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</si>
  <si>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</si>
  <si>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</si>
  <si>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</si>
  <si>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</si>
  <si>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</si>
  <si>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</si>
  <si>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</si>
  <si>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</si>
  <si>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</si>
  <si>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</si>
  <si>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</si>
  <si>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</si>
  <si>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</si>
  <si>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</si>
  <si>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</si>
  <si>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</si>
  <si>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</si>
  <si>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</si>
  <si>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</si>
  <si>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</si>
  <si>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</si>
  <si>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</si>
  <si>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</si>
  <si>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</si>
  <si>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</si>
  <si>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</si>
  <si>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</si>
  <si>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</si>
  <si>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</si>
  <si>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</si>
  <si>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</si>
  <si>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</si>
  <si>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</si>
  <si>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</si>
  <si>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</si>
  <si>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</si>
  <si>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</si>
  <si>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</si>
  <si>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</si>
  <si>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</si>
  <si>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</si>
  <si>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</si>
  <si>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</si>
  <si>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</si>
  <si>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</si>
  <si>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10192017</t>
  </si>
  <si>
    <t>062</t>
  </si>
  <si>
    <t>9993266</t>
  </si>
  <si>
    <t>063</t>
  </si>
  <si>
    <t>10192021</t>
  </si>
  <si>
    <t>064</t>
  </si>
  <si>
    <t>9993250</t>
  </si>
  <si>
    <t>065</t>
  </si>
  <si>
    <t>10192022</t>
  </si>
  <si>
    <t>066</t>
  </si>
  <si>
    <t>067</t>
  </si>
  <si>
    <t>10192015</t>
  </si>
  <si>
    <t>068</t>
  </si>
  <si>
    <t>069</t>
  </si>
  <si>
    <t>10192007</t>
  </si>
  <si>
    <t>070</t>
  </si>
  <si>
    <t>9897925</t>
  </si>
  <si>
    <t>071</t>
  </si>
  <si>
    <t>10172133</t>
  </si>
  <si>
    <t>072</t>
  </si>
  <si>
    <t>9897914</t>
  </si>
  <si>
    <t>073</t>
  </si>
  <si>
    <t>9897893</t>
  </si>
  <si>
    <t>074</t>
  </si>
  <si>
    <t>9897897</t>
  </si>
  <si>
    <t>075</t>
  </si>
  <si>
    <t>9897987</t>
  </si>
  <si>
    <t>076</t>
  </si>
  <si>
    <t>A2</t>
  </si>
  <si>
    <t>10172252</t>
  </si>
  <si>
    <t>077</t>
  </si>
  <si>
    <t>10172251</t>
  </si>
  <si>
    <t>078</t>
  </si>
  <si>
    <t>079</t>
  </si>
  <si>
    <t>10172246</t>
  </si>
  <si>
    <t>080</t>
  </si>
  <si>
    <t>081</t>
  </si>
  <si>
    <t>082</t>
  </si>
  <si>
    <t>083</t>
  </si>
  <si>
    <t>084</t>
  </si>
  <si>
    <t>085</t>
  </si>
  <si>
    <t>086</t>
  </si>
  <si>
    <t>10172135</t>
  </si>
  <si>
    <t>087</t>
  </si>
  <si>
    <t>B2</t>
  </si>
  <si>
    <t>088</t>
  </si>
  <si>
    <t>089</t>
  </si>
  <si>
    <t>090</t>
  </si>
  <si>
    <t>10172247</t>
  </si>
  <si>
    <t>091</t>
  </si>
  <si>
    <t>092</t>
  </si>
  <si>
    <t>093</t>
  </si>
  <si>
    <t>A1</t>
  </si>
  <si>
    <t>9897995</t>
  </si>
  <si>
    <t>094</t>
  </si>
  <si>
    <t>095</t>
  </si>
  <si>
    <t>10172258</t>
  </si>
  <si>
    <t>096</t>
  </si>
  <si>
    <t>097</t>
  </si>
  <si>
    <t>10172250</t>
  </si>
  <si>
    <t>098</t>
  </si>
  <si>
    <t>099</t>
  </si>
  <si>
    <t>10172261</t>
  </si>
  <si>
    <t>100</t>
  </si>
  <si>
    <t>101</t>
  </si>
  <si>
    <t>9897994</t>
  </si>
  <si>
    <t>102</t>
  </si>
  <si>
    <t>103</t>
  </si>
  <si>
    <t>9897912</t>
  </si>
  <si>
    <t>104</t>
  </si>
  <si>
    <t>105</t>
  </si>
  <si>
    <t>9898003</t>
  </si>
  <si>
    <t>106</t>
  </si>
  <si>
    <t>107</t>
  </si>
  <si>
    <t>9898044</t>
  </si>
  <si>
    <t>108</t>
  </si>
  <si>
    <t>109</t>
  </si>
  <si>
    <t>9898037</t>
  </si>
  <si>
    <t>110</t>
  </si>
  <si>
    <t>111</t>
  </si>
  <si>
    <t>9897906</t>
  </si>
  <si>
    <t>112</t>
  </si>
  <si>
    <t>113</t>
  </si>
  <si>
    <t>9897997</t>
  </si>
  <si>
    <t>114</t>
  </si>
  <si>
    <t>115</t>
  </si>
  <si>
    <t>9898005</t>
  </si>
  <si>
    <t>116</t>
  </si>
  <si>
    <t>117</t>
  </si>
  <si>
    <t>9897913</t>
  </si>
  <si>
    <t>118</t>
  </si>
  <si>
    <t>119</t>
  </si>
  <si>
    <t>9897993</t>
  </si>
  <si>
    <t>120</t>
  </si>
  <si>
    <t>121</t>
  </si>
  <si>
    <t>9897907</t>
  </si>
  <si>
    <t>122</t>
  </si>
  <si>
    <t>123</t>
  </si>
  <si>
    <t>9897911</t>
  </si>
  <si>
    <t>124</t>
  </si>
  <si>
    <t>125</t>
  </si>
  <si>
    <t>9898001</t>
  </si>
  <si>
    <t>126</t>
  </si>
  <si>
    <t>127</t>
  </si>
  <si>
    <t>9897908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</si>
  <si>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</si>
  <si>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</si>
  <si>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</si>
  <si>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</si>
  <si>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</si>
  <si>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</si>
  <si>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</si>
  <si>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</si>
  <si>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</si>
  <si>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</si>
  <si>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</si>
  <si>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</si>
  <si>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</si>
  <si>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</si>
  <si>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</si>
  <si>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</si>
  <si>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</si>
  <si>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</si>
  <si>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</si>
  <si>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</si>
  <si>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</si>
  <si>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</si>
  <si>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</si>
  <si>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</si>
  <si>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</si>
  <si>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</si>
  <si>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</si>
  <si>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</si>
  <si>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</si>
  <si>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</si>
  <si>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</si>
  <si>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</si>
  <si>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</si>
  <si>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</si>
  <si>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</si>
  <si>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</si>
  <si>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</si>
  <si>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</si>
  <si>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</si>
  <si>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</si>
  <si>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</si>
  <si>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</si>
  <si>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</si>
  <si>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A4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</si>
  <si>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</si>
  <si>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</si>
  <si>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</si>
  <si>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</si>
  <si>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</si>
  <si>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</si>
  <si>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</si>
  <si>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</si>
  <si>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</si>
  <si>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</si>
  <si>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</si>
  <si>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</si>
  <si>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</si>
  <si>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9993265</t>
  </si>
  <si>
    <t>184</t>
  </si>
  <si>
    <t>10192025</t>
  </si>
  <si>
    <t>185</t>
  </si>
  <si>
    <t>10192009</t>
  </si>
  <si>
    <t>186</t>
  </si>
  <si>
    <t>10192013</t>
  </si>
  <si>
    <t>187</t>
  </si>
  <si>
    <t>10192019</t>
  </si>
  <si>
    <t>188</t>
  </si>
  <si>
    <t>10192018</t>
  </si>
  <si>
    <t>189</t>
  </si>
  <si>
    <t>10192205</t>
  </si>
  <si>
    <t>190</t>
  </si>
  <si>
    <t>10192011</t>
  </si>
  <si>
    <t xml:space="preserve">Lifestyle Cetre Meter 1 </t>
  </si>
  <si>
    <t>10228692</t>
  </si>
  <si>
    <t>25mm</t>
  </si>
  <si>
    <t>Lifestyle Cetre Meter 2</t>
  </si>
  <si>
    <t>9279142</t>
  </si>
  <si>
    <t>32mm</t>
  </si>
  <si>
    <t>Meter Serial</t>
  </si>
  <si>
    <t>Parent Meter</t>
  </si>
  <si>
    <t xml:space="preserve">Connection size </t>
  </si>
  <si>
    <t xml:space="preserve">Phase connected </t>
  </si>
  <si>
    <t xml:space="preserve">Kiosk Number </t>
  </si>
  <si>
    <t xml:space="preserve">Meter Commission Date </t>
  </si>
  <si>
    <t>Opening reading [kWh]</t>
  </si>
  <si>
    <t xml:space="preserve">AMR Installed </t>
  </si>
  <si>
    <t>Comments</t>
  </si>
  <si>
    <t>Hexing</t>
  </si>
  <si>
    <t>HXP100DII</t>
  </si>
  <si>
    <t>1x80A</t>
  </si>
  <si>
    <t>10EVE2</t>
  </si>
  <si>
    <t>10EVE3</t>
  </si>
  <si>
    <t>11EVE3</t>
  </si>
  <si>
    <t>1EVE1</t>
  </si>
  <si>
    <t>1EVE2</t>
  </si>
  <si>
    <t>W</t>
  </si>
  <si>
    <t>1EVE3</t>
  </si>
  <si>
    <t>B</t>
  </si>
  <si>
    <t>R</t>
  </si>
  <si>
    <t>2EVE1</t>
  </si>
  <si>
    <t>2EVE2</t>
  </si>
  <si>
    <t>2EVE3</t>
  </si>
  <si>
    <t>3EVE1</t>
  </si>
  <si>
    <t>3EVE2</t>
  </si>
  <si>
    <t>3EVE3</t>
  </si>
  <si>
    <t>4EVE1</t>
  </si>
  <si>
    <t>4EVE2</t>
  </si>
  <si>
    <t>4EVE3</t>
  </si>
  <si>
    <t>5EVE1</t>
  </si>
  <si>
    <t>5EVE2</t>
  </si>
  <si>
    <t>5EVE3</t>
  </si>
  <si>
    <t>6EVE1</t>
  </si>
  <si>
    <t>6EVE2</t>
  </si>
  <si>
    <t>7EVE2</t>
  </si>
  <si>
    <t>7EVE3</t>
  </si>
  <si>
    <t>8EVE2</t>
  </si>
  <si>
    <t>8EVE3</t>
  </si>
  <si>
    <t>9EVE2</t>
  </si>
  <si>
    <t>9EVE3</t>
  </si>
  <si>
    <t xml:space="preserve">Clubhouse </t>
  </si>
  <si>
    <t>Iskra</t>
  </si>
  <si>
    <t>MT174D</t>
  </si>
  <si>
    <t>3x100A</t>
  </si>
  <si>
    <t>RWB</t>
  </si>
  <si>
    <t>Minisub</t>
  </si>
  <si>
    <t xml:space="preserve">MS Serial </t>
  </si>
  <si>
    <t>Kiosk Number</t>
  </si>
  <si>
    <t xml:space="preserve">Original Planned </t>
  </si>
  <si>
    <t>New planned units</t>
  </si>
  <si>
    <t>Uits fed</t>
  </si>
  <si>
    <t>8 probe</t>
  </si>
  <si>
    <t>16 probe</t>
  </si>
  <si>
    <t>Updated units fed</t>
  </si>
  <si>
    <t>Inc/dec units</t>
  </si>
  <si>
    <t xml:space="preserve">One less Unit fed </t>
  </si>
  <si>
    <t>2 less units fed</t>
  </si>
  <si>
    <t>4 less units fed</t>
  </si>
  <si>
    <t>6EVE3</t>
  </si>
  <si>
    <t>Kiosk removed</t>
  </si>
  <si>
    <t>6 less units</t>
  </si>
  <si>
    <t>one additional unit</t>
  </si>
  <si>
    <t xml:space="preserve">New additional kiosk </t>
  </si>
  <si>
    <t>Erf</t>
  </si>
  <si>
    <t>Closing Readings</t>
  </si>
  <si>
    <t>Usage [WBHO]</t>
  </si>
  <si>
    <t>A</t>
  </si>
  <si>
    <t>Cant see readings clearly</t>
  </si>
  <si>
    <t xml:space="preserve">Electricity Meters To be Invoiced </t>
  </si>
  <si>
    <t xml:space="preserve">Water Meter Invoicing </t>
  </si>
  <si>
    <t>Display dead</t>
  </si>
  <si>
    <t>WBHO Subsection</t>
  </si>
  <si>
    <t>Section 1</t>
  </si>
  <si>
    <t>Section 2</t>
  </si>
  <si>
    <t>Section 3</t>
  </si>
  <si>
    <t>Section 4</t>
  </si>
  <si>
    <t>Section 5</t>
  </si>
  <si>
    <t>Section 6</t>
  </si>
  <si>
    <t>Snag Date 1</t>
  </si>
  <si>
    <t>Snag Date 4</t>
  </si>
  <si>
    <t>Snag Date 2</t>
  </si>
  <si>
    <t>Snag Date 3</t>
  </si>
  <si>
    <t>Section 7</t>
  </si>
  <si>
    <t>Section 8</t>
  </si>
  <si>
    <t>Section 9</t>
  </si>
  <si>
    <t>Section 10</t>
  </si>
  <si>
    <t>Section 11</t>
  </si>
  <si>
    <t>Section 12</t>
  </si>
  <si>
    <t>Section 13</t>
  </si>
  <si>
    <t>Section 14</t>
  </si>
  <si>
    <t>Section 15</t>
  </si>
  <si>
    <t>Section 16</t>
  </si>
  <si>
    <t>Section 17</t>
  </si>
  <si>
    <t>Section 18</t>
  </si>
  <si>
    <t xml:space="preserve">Section 19 </t>
  </si>
  <si>
    <t>Section 20</t>
  </si>
  <si>
    <t>Section 21</t>
  </si>
  <si>
    <t>Section 22</t>
  </si>
  <si>
    <t>Section 23</t>
  </si>
  <si>
    <t>Section 25</t>
  </si>
  <si>
    <t>Section 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</si>
</sst>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6" x14ac:knownFonts="1">
    <font>
      <sz val="11"/>
      <color theme="1"/>
      <name val="Aptos Narrow"/>
      <charset val="134"/>
      <scheme val="minor"/>
    </font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sz val="8"/>
      <name val="Aptos Narrow"/>
      <family val="2"/>
      <scheme val="minor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4"/>
      <color theme="1"/>
      <name val="Bauhaus 93"/>
      <family val="5"/>
    </font>
    <font>
      <sz val="12"/>
      <color theme="1"/>
      <name val="Bauhaus 93"/>
      <family val="5"/>
    </font>
  </fonts>
  <fills count="3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666633"/>
        <bgColor indexed="64"/>
      </patternFill>
    </fill>
    <fill>
      <patternFill patternType="solid">
        <fgColor rgb="FFCC3399"/>
        <bgColor indexed="64"/>
      </patternFill>
    </fill>
    <fill>
      <patternFill patternType="solid">
        <fgColor rgb="FF666699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rgb="FFD60093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6600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09">
    <xf numFmtId="0" fontId="0" fillId="0" borderId="0" xfId="0"/>
    <xf numFmtId="0" fontId="2" fillId="0" borderId="1" xfId="0" applyFont="1" applyBorder="1"/>
    <xf numFmtId="49" fontId="2" fillId="0" borderId="1" xfId="0" applyNumberFormat="1" applyFont="1" applyBorder="1" applyAlignment="1">
      <alignment horizontal="right"/>
    </xf>
    <xf numFmtId="0" fontId="3" fillId="0" borderId="1" xfId="0" applyFont="1" applyBorder="1"/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/>
    <xf numFmtId="0" fontId="3" fillId="2" borderId="1" xfId="0" applyFont="1" applyFill="1" applyBorder="1"/>
    <xf numFmtId="0" fontId="7" fillId="2" borderId="1" xfId="0" applyFont="1" applyFill="1" applyBorder="1"/>
    <xf numFmtId="0" fontId="7" fillId="2" borderId="1" xfId="0" applyFont="1" applyFill="1" applyBorder="1" applyAlignment="1">
      <alignment horizontal="center" vertical="center"/>
    </xf>
    <xf numFmtId="0" fontId="7" fillId="3" borderId="1" xfId="0" applyFont="1" applyFill="1" applyBorder="1"/>
    <xf numFmtId="0" fontId="7" fillId="4" borderId="1" xfId="0" applyFont="1" applyFill="1" applyBorder="1"/>
    <xf numFmtId="14" fontId="5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0" borderId="1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0" fillId="0" borderId="1" xfId="0" applyFont="1" applyBorder="1" applyAlignment="1">
      <alignment horizontal="center" vertical="center"/>
    </xf>
    <xf numFmtId="49" fontId="5" fillId="6" borderId="1" xfId="0" applyNumberFormat="1" applyFont="1" applyFill="1" applyBorder="1" applyAlignment="1">
      <alignment horizontal="center" vertical="center"/>
    </xf>
    <xf numFmtId="2" fontId="9" fillId="0" borderId="1" xfId="0" applyNumberFormat="1" applyFont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/>
    <xf numFmtId="0" fontId="5" fillId="10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2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4" fillId="0" borderId="1" xfId="0" applyFont="1" applyBorder="1"/>
    <xf numFmtId="0" fontId="0" fillId="6" borderId="1" xfId="0" applyFill="1" applyBorder="1" applyAlignment="1">
      <alignment horizontal="center" vertical="center"/>
    </xf>
    <xf numFmtId="0" fontId="0" fillId="6" borderId="1" xfId="0" applyFill="1" applyBorder="1"/>
    <xf numFmtId="49" fontId="5" fillId="13" borderId="1" xfId="0" applyNumberFormat="1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49" fontId="5" fillId="14" borderId="1" xfId="0" applyNumberFormat="1" applyFont="1" applyFill="1" applyBorder="1" applyAlignment="1">
      <alignment horizontal="center" vertical="center"/>
    </xf>
    <xf numFmtId="49" fontId="5" fillId="15" borderId="1" xfId="0" applyNumberFormat="1" applyFont="1" applyFill="1" applyBorder="1" applyAlignment="1">
      <alignment horizontal="center" vertical="center"/>
    </xf>
    <xf numFmtId="49" fontId="5" fillId="16" borderId="1" xfId="0" applyNumberFormat="1" applyFont="1" applyFill="1" applyBorder="1" applyAlignment="1">
      <alignment horizontal="center" vertical="center"/>
    </xf>
    <xf numFmtId="49" fontId="5" fillId="10" borderId="1" xfId="0" applyNumberFormat="1" applyFont="1" applyFill="1" applyBorder="1" applyAlignment="1">
      <alignment horizontal="center" vertical="center"/>
    </xf>
    <xf numFmtId="49" fontId="5" fillId="17" borderId="1" xfId="0" applyNumberFormat="1" applyFont="1" applyFill="1" applyBorder="1" applyAlignment="1">
      <alignment horizontal="center" vertical="center"/>
    </xf>
    <xf numFmtId="0" fontId="5" fillId="18" borderId="1" xfId="0" applyFont="1" applyFill="1" applyBorder="1" applyAlignment="1">
      <alignment horizontal="center" vertical="center"/>
    </xf>
    <xf numFmtId="0" fontId="5" fillId="19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vertical="center" wrapText="1"/>
    </xf>
    <xf numFmtId="0" fontId="5" fillId="20" borderId="1" xfId="0" applyFont="1" applyFill="1" applyBorder="1" applyAlignment="1">
      <alignment horizontal="center" vertical="center"/>
    </xf>
    <xf numFmtId="0" fontId="5" fillId="21" borderId="1" xfId="0" applyFont="1" applyFill="1" applyBorder="1" applyAlignment="1">
      <alignment horizontal="center" vertical="center"/>
    </xf>
    <xf numFmtId="0" fontId="5" fillId="22" borderId="1" xfId="0" applyFont="1" applyFill="1" applyBorder="1" applyAlignment="1">
      <alignment horizontal="center" vertical="center"/>
    </xf>
    <xf numFmtId="0" fontId="5" fillId="23" borderId="1" xfId="0" applyFont="1" applyFill="1" applyBorder="1" applyAlignment="1">
      <alignment horizontal="center" vertical="center"/>
    </xf>
    <xf numFmtId="0" fontId="5" fillId="24" borderId="1" xfId="0" applyFont="1" applyFill="1" applyBorder="1" applyAlignment="1">
      <alignment horizontal="center" vertical="center"/>
    </xf>
    <xf numFmtId="0" fontId="5" fillId="25" borderId="1" xfId="0" applyFont="1" applyFill="1" applyBorder="1" applyAlignment="1">
      <alignment horizontal="center" vertical="center"/>
    </xf>
    <xf numFmtId="0" fontId="5" fillId="26" borderId="1" xfId="0" applyFont="1" applyFill="1" applyBorder="1" applyAlignment="1">
      <alignment horizontal="center" vertical="center"/>
    </xf>
    <xf numFmtId="0" fontId="5" fillId="27" borderId="1" xfId="0" applyFont="1" applyFill="1" applyBorder="1" applyAlignment="1">
      <alignment horizontal="center" vertical="center"/>
    </xf>
    <xf numFmtId="0" fontId="5" fillId="28" borderId="1" xfId="0" applyFont="1" applyFill="1" applyBorder="1" applyAlignment="1">
      <alignment horizontal="center" vertical="center"/>
    </xf>
    <xf numFmtId="0" fontId="5" fillId="29" borderId="1" xfId="0" applyFont="1" applyFill="1" applyBorder="1" applyAlignment="1">
      <alignment horizontal="center" vertical="center"/>
    </xf>
    <xf numFmtId="0" fontId="5" fillId="30" borderId="1" xfId="0" applyFont="1" applyFill="1" applyBorder="1" applyAlignment="1">
      <alignment horizontal="center" vertical="center"/>
    </xf>
    <xf numFmtId="0" fontId="5" fillId="31" borderId="1" xfId="0" applyFont="1" applyFill="1" applyBorder="1" applyAlignment="1">
      <alignment horizontal="center" vertical="center"/>
    </xf>
    <xf numFmtId="0" fontId="5" fillId="32" borderId="1" xfId="0" applyFont="1" applyFill="1" applyBorder="1" applyAlignment="1">
      <alignment horizontal="center" vertical="center"/>
    </xf>
    <xf numFmtId="0" fontId="5" fillId="33" borderId="1" xfId="0" applyFont="1" applyFill="1" applyBorder="1" applyAlignment="1">
      <alignment horizontal="center" vertical="center"/>
    </xf>
    <xf numFmtId="0" fontId="5" fillId="34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1" fillId="3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/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vertical="center" wrapText="1"/>
    </xf>
    <xf numFmtId="0" fontId="0" fillId="7" borderId="1" xfId="0" applyFill="1" applyBorder="1"/>
    <xf numFmtId="0" fontId="0" fillId="10" borderId="1" xfId="0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0" fillId="10" borderId="1" xfId="0" applyFill="1" applyBorder="1"/>
    <xf numFmtId="0" fontId="4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0" fillId="10" borderId="2" xfId="0" applyFill="1" applyBorder="1"/>
    <xf numFmtId="0" fontId="0" fillId="10" borderId="0" xfId="0" applyFill="1"/>
    <xf numFmtId="49" fontId="7" fillId="0" borderId="1" xfId="0" applyNumberFormat="1" applyFont="1" applyBorder="1" applyAlignment="1">
      <alignment horizontal="center" vertical="center"/>
    </xf>
    <xf numFmtId="49" fontId="13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49" fontId="7" fillId="13" borderId="1" xfId="0" applyNumberFormat="1" applyFont="1" applyFill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49" fontId="7" fillId="10" borderId="1" xfId="0" applyNumberFormat="1" applyFont="1" applyFill="1" applyBorder="1" applyAlignment="1">
      <alignment horizontal="center" vertical="center"/>
    </xf>
    <xf numFmtId="49" fontId="7" fillId="14" borderId="1" xfId="0" applyNumberFormat="1" applyFont="1" applyFill="1" applyBorder="1" applyAlignment="1">
      <alignment horizontal="center" vertical="center"/>
    </xf>
    <xf numFmtId="49" fontId="7" fillId="17" borderId="1" xfId="0" applyNumberFormat="1" applyFont="1" applyFill="1" applyBorder="1" applyAlignment="1">
      <alignment horizontal="center" vertical="center"/>
    </xf>
    <xf numFmtId="49" fontId="7" fillId="15" borderId="1" xfId="0" applyNumberFormat="1" applyFont="1" applyFill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49" fontId="13" fillId="13" borderId="1" xfId="0" applyNumberFormat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164" fontId="13" fillId="0" borderId="1" xfId="0" applyNumberFormat="1" applyFont="1" applyBorder="1" applyAlignment="1">
      <alignment horizontal="center" vertical="center"/>
    </xf>
    <xf numFmtId="0" fontId="7" fillId="0" borderId="2" xfId="0" applyFont="1" applyBorder="1"/>
    <xf numFmtId="0" fontId="7" fillId="0" borderId="0" xfId="0" applyFont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6" fillId="0" borderId="1" xfId="0" applyFont="1" applyFill="1" applyBorder="1" applyAlignment="1">
      <alignment horizontal="center" vertical="center"/>
    </xf>
    <xf numFmtId="15" fontId="14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15" fontId="1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FF"/>
      <color rgb="FF0099CC"/>
      <color rgb="FFFFFF99"/>
      <color rgb="FF6600FF"/>
      <color rgb="FFCCFFFF"/>
      <color rgb="FF66FF33"/>
      <color rgb="FF993366"/>
      <color rgb="FFCCCC00"/>
      <color rgb="FFD60093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www.wps.cn/officeDocument/2023/relationships/customStorage" Target="customStorage/customStorage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22/11/relationships/FeaturePropertyBag" Target="featurePropertyBag/featurePropertyBag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3"/>
  <sheetViews>
    <sheetView tabSelected="1" zoomScale="55" zoomScaleNormal="55" workbookViewId="0">
      <pane ySplit="1" topLeftCell="A2" activePane="bottomLeft" state="frozen"/>
      <selection pane="bottomLeft" activeCell="M25" sqref="M25"/>
    </sheetView>
  </sheetViews>
  <sheetFormatPr defaultColWidth="9" defaultRowHeight="13.5" x14ac:dyDescent="0.3"/>
  <cols>
    <col min="1" max="1" width="27" bestFit="1" customWidth="1"/>
    <col min="2" max="6" width="23.46484375" customWidth="1"/>
    <col min="7" max="7" width="31.1328125" bestFit="1" customWidth="1"/>
    <col min="8" max="8" width="30.46484375" bestFit="1" customWidth="1"/>
    <col min="9" max="9" width="22.46484375" bestFit="1" customWidth="1"/>
    <col min="10" max="10" width="27.3984375" bestFit="1" customWidth="1"/>
    <col min="11" max="13" width="20.19921875" customWidth="1"/>
    <col min="14" max="14" width="35.53125" customWidth="1"/>
  </cols>
  <sheetData>
    <row r="1" spans="1:14" ht="18" x14ac:dyDescent="0.3">
      <c r="A1" s="4" t="s">
        <v>0</v>
      </c>
      <c r="B1" s="4" t="s">
        <v>1</v>
      </c>
      <c r="C1" s="8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86" t="s">
        <v>7</v>
      </c>
      <c r="I1" s="4" t="s">
        <v>8</v>
      </c>
      <c r="J1" s="102" t="s">
        <v>330</v>
      </c>
      <c r="K1" s="102" t="s">
        <v>337</v>
      </c>
      <c r="L1" s="102" t="s">
        <v>339</v>
      </c>
      <c r="M1" s="102" t="s">
        <v>340</v>
      </c>
      <c r="N1" s="102" t="s">
        <v>338</v>
      </c>
    </row>
    <row r="2" spans="1:14" ht="21.4" x14ac:dyDescent="0.3">
      <c r="A2" s="34" t="s">
        <v>9</v>
      </c>
      <c r="B2" s="92" t="s">
        <v>10</v>
      </c>
      <c r="C2" s="83"/>
      <c r="D2" s="83" t="s">
        <v>11</v>
      </c>
      <c r="E2" s="83" t="s">
        <v>12</v>
      </c>
      <c r="F2" s="83" t="s">
        <v>13</v>
      </c>
      <c r="G2" s="6"/>
      <c r="H2" s="6"/>
      <c r="I2" s="32" t="b">
        <v>0</v>
      </c>
      <c r="J2" s="104" t="s">
        <v>354</v>
      </c>
      <c r="K2" s="103">
        <v>46273</v>
      </c>
      <c r="L2" s="103">
        <v>46280</v>
      </c>
      <c r="M2" s="103">
        <v>46295</v>
      </c>
      <c r="N2" s="103">
        <v>46301</v>
      </c>
    </row>
    <row r="3" spans="1:14" ht="21.4" x14ac:dyDescent="0.3">
      <c r="A3" s="34" t="s">
        <v>14</v>
      </c>
      <c r="B3" s="92" t="s">
        <v>10</v>
      </c>
      <c r="C3" s="83"/>
      <c r="D3" s="83" t="s">
        <v>11</v>
      </c>
      <c r="E3" s="83" t="s">
        <v>12</v>
      </c>
      <c r="F3" s="83" t="s">
        <v>13</v>
      </c>
      <c r="G3" s="6"/>
      <c r="H3" s="6"/>
      <c r="I3" s="32" t="b">
        <v>0</v>
      </c>
      <c r="J3" s="104" t="s">
        <v>354</v>
      </c>
      <c r="K3" s="103">
        <v>46273</v>
      </c>
      <c r="L3" s="103">
        <v>46280</v>
      </c>
      <c r="M3" s="103">
        <v>46295</v>
      </c>
      <c r="N3" s="103">
        <v>46301</v>
      </c>
    </row>
    <row r="4" spans="1:14" ht="21.4" x14ac:dyDescent="0.3">
      <c r="A4" s="34" t="s">
        <v>15</v>
      </c>
      <c r="B4" s="91" t="s">
        <v>16</v>
      </c>
      <c r="C4" s="83"/>
      <c r="D4" s="83" t="s">
        <v>11</v>
      </c>
      <c r="E4" s="83" t="s">
        <v>12</v>
      </c>
      <c r="F4" s="83" t="s">
        <v>13</v>
      </c>
      <c r="G4" s="6"/>
      <c r="H4" s="6"/>
      <c r="I4" s="32" t="b">
        <v>0</v>
      </c>
      <c r="J4" s="104" t="s">
        <v>352</v>
      </c>
      <c r="K4" s="103">
        <v>46213</v>
      </c>
      <c r="L4" s="103">
        <v>46220</v>
      </c>
      <c r="M4" s="103">
        <v>46234</v>
      </c>
      <c r="N4" s="103">
        <v>46240</v>
      </c>
    </row>
    <row r="5" spans="1:14" ht="21.4" x14ac:dyDescent="0.3">
      <c r="A5" s="34" t="s">
        <v>17</v>
      </c>
      <c r="B5" s="92" t="s">
        <v>10</v>
      </c>
      <c r="C5" s="83"/>
      <c r="D5" s="83" t="s">
        <v>11</v>
      </c>
      <c r="E5" s="83" t="s">
        <v>12</v>
      </c>
      <c r="F5" s="83" t="s">
        <v>13</v>
      </c>
      <c r="G5" s="6"/>
      <c r="H5" s="6"/>
      <c r="I5" s="32" t="b">
        <v>0</v>
      </c>
      <c r="J5" s="104" t="s">
        <v>354</v>
      </c>
      <c r="K5" s="103">
        <v>46273</v>
      </c>
      <c r="L5" s="103">
        <v>46280</v>
      </c>
      <c r="M5" s="103">
        <v>46295</v>
      </c>
      <c r="N5" s="103">
        <v>46301</v>
      </c>
    </row>
    <row r="6" spans="1:14" ht="21.4" x14ac:dyDescent="0.3">
      <c r="A6" s="34" t="s">
        <v>18</v>
      </c>
      <c r="B6" s="91" t="s">
        <v>16</v>
      </c>
      <c r="C6" s="83"/>
      <c r="D6" s="83" t="s">
        <v>11</v>
      </c>
      <c r="E6" s="83" t="s">
        <v>12</v>
      </c>
      <c r="F6" s="83" t="s">
        <v>13</v>
      </c>
      <c r="G6" s="6"/>
      <c r="H6" s="6"/>
      <c r="I6" s="32" t="b">
        <v>0</v>
      </c>
      <c r="J6" s="104" t="s">
        <v>352</v>
      </c>
      <c r="K6" s="103">
        <v>46213</v>
      </c>
      <c r="L6" s="103">
        <v>46220</v>
      </c>
      <c r="M6" s="103">
        <v>46234</v>
      </c>
      <c r="N6" s="103">
        <v>46240</v>
      </c>
    </row>
    <row r="7" spans="1:14" ht="21.4" x14ac:dyDescent="0.3">
      <c r="A7" s="34" t="s">
        <v>19</v>
      </c>
      <c r="B7" s="92" t="s">
        <v>10</v>
      </c>
      <c r="C7" s="83"/>
      <c r="D7" s="83" t="s">
        <v>11</v>
      </c>
      <c r="E7" s="83" t="s">
        <v>12</v>
      </c>
      <c r="F7" s="83" t="s">
        <v>13</v>
      </c>
      <c r="G7" s="6"/>
      <c r="H7" s="6"/>
      <c r="I7" s="32" t="b">
        <v>0</v>
      </c>
      <c r="J7" s="104" t="s">
        <v>354</v>
      </c>
      <c r="K7" s="103">
        <v>46273</v>
      </c>
      <c r="L7" s="103">
        <v>46280</v>
      </c>
      <c r="M7" s="103">
        <v>46295</v>
      </c>
      <c r="N7" s="103">
        <v>46301</v>
      </c>
    </row>
    <row r="8" spans="1:14" ht="21.4" x14ac:dyDescent="0.3">
      <c r="A8" s="34" t="s">
        <v>20</v>
      </c>
      <c r="B8" s="91" t="s">
        <v>16</v>
      </c>
      <c r="C8" s="83"/>
      <c r="D8" s="83" t="s">
        <v>11</v>
      </c>
      <c r="E8" s="83" t="s">
        <v>12</v>
      </c>
      <c r="F8" s="83" t="s">
        <v>13</v>
      </c>
      <c r="G8" s="6"/>
      <c r="H8" s="6"/>
      <c r="I8" s="32" t="b">
        <v>0</v>
      </c>
      <c r="J8" s="104" t="s">
        <v>352</v>
      </c>
      <c r="K8" s="103">
        <v>46213</v>
      </c>
      <c r="L8" s="103">
        <v>46220</v>
      </c>
      <c r="M8" s="103">
        <v>46234</v>
      </c>
      <c r="N8" s="103">
        <v>46240</v>
      </c>
    </row>
    <row r="9" spans="1:14" ht="21.4" x14ac:dyDescent="0.3">
      <c r="A9" s="34" t="s">
        <v>21</v>
      </c>
      <c r="B9" s="92" t="s">
        <v>10</v>
      </c>
      <c r="C9" s="83"/>
      <c r="D9" s="83" t="s">
        <v>11</v>
      </c>
      <c r="E9" s="83" t="s">
        <v>12</v>
      </c>
      <c r="F9" s="83" t="s">
        <v>13</v>
      </c>
      <c r="G9" s="6"/>
      <c r="H9" s="6"/>
      <c r="I9" s="32" t="b">
        <v>0</v>
      </c>
      <c r="J9" s="104" t="s">
        <v>354</v>
      </c>
      <c r="K9" s="103">
        <v>46273</v>
      </c>
      <c r="L9" s="103">
        <v>46280</v>
      </c>
      <c r="M9" s="103">
        <v>46295</v>
      </c>
      <c r="N9" s="103">
        <v>46301</v>
      </c>
    </row>
    <row r="10" spans="1:14" ht="21.4" x14ac:dyDescent="0.3">
      <c r="A10" s="34" t="s">
        <v>22</v>
      </c>
      <c r="B10" s="91" t="s">
        <v>16</v>
      </c>
      <c r="C10" s="83"/>
      <c r="D10" s="83" t="s">
        <v>11</v>
      </c>
      <c r="E10" s="83" t="s">
        <v>12</v>
      </c>
      <c r="F10" s="83" t="s">
        <v>13</v>
      </c>
      <c r="G10" s="6"/>
      <c r="H10" s="6"/>
      <c r="I10" s="32" t="b">
        <v>0</v>
      </c>
      <c r="J10" s="104" t="s">
        <v>352</v>
      </c>
      <c r="K10" s="103">
        <v>46213</v>
      </c>
      <c r="L10" s="103">
        <v>46220</v>
      </c>
      <c r="M10" s="103">
        <v>46234</v>
      </c>
      <c r="N10" s="103">
        <v>46240</v>
      </c>
    </row>
    <row r="11" spans="1:14" ht="21.4" x14ac:dyDescent="0.3">
      <c r="A11" s="34" t="s">
        <v>23</v>
      </c>
      <c r="B11" s="92" t="s">
        <v>10</v>
      </c>
      <c r="C11" s="83"/>
      <c r="D11" s="83" t="s">
        <v>11</v>
      </c>
      <c r="E11" s="83" t="s">
        <v>12</v>
      </c>
      <c r="F11" s="83" t="s">
        <v>13</v>
      </c>
      <c r="G11" s="6"/>
      <c r="H11" s="6"/>
      <c r="I11" s="32" t="b">
        <v>0</v>
      </c>
      <c r="J11" s="104" t="s">
        <v>354</v>
      </c>
      <c r="K11" s="103">
        <v>46273</v>
      </c>
      <c r="L11" s="103">
        <v>46280</v>
      </c>
      <c r="M11" s="103">
        <v>46295</v>
      </c>
      <c r="N11" s="103">
        <v>46301</v>
      </c>
    </row>
    <row r="12" spans="1:14" ht="21.4" x14ac:dyDescent="0.3">
      <c r="A12" s="34" t="s">
        <v>24</v>
      </c>
      <c r="B12" s="91" t="s">
        <v>16</v>
      </c>
      <c r="C12" s="83"/>
      <c r="D12" s="83" t="s">
        <v>11</v>
      </c>
      <c r="E12" s="83" t="s">
        <v>12</v>
      </c>
      <c r="F12" s="83" t="s">
        <v>13</v>
      </c>
      <c r="G12" s="6"/>
      <c r="H12" s="6"/>
      <c r="I12" s="32" t="b">
        <v>0</v>
      </c>
      <c r="J12" s="104" t="s">
        <v>352</v>
      </c>
      <c r="K12" s="103">
        <v>46213</v>
      </c>
      <c r="L12" s="103">
        <v>46220</v>
      </c>
      <c r="M12" s="103">
        <v>46234</v>
      </c>
      <c r="N12" s="103">
        <v>46240</v>
      </c>
    </row>
    <row r="13" spans="1:14" ht="21.4" x14ac:dyDescent="0.3">
      <c r="A13" s="34" t="s">
        <v>25</v>
      </c>
      <c r="B13" s="92" t="s">
        <v>10</v>
      </c>
      <c r="C13" s="83"/>
      <c r="D13" s="83" t="s">
        <v>11</v>
      </c>
      <c r="E13" s="83" t="s">
        <v>12</v>
      </c>
      <c r="F13" s="83" t="s">
        <v>13</v>
      </c>
      <c r="G13" s="6"/>
      <c r="H13" s="6"/>
      <c r="I13" s="32" t="b">
        <v>0</v>
      </c>
      <c r="J13" s="104" t="s">
        <v>354</v>
      </c>
      <c r="K13" s="103">
        <v>46273</v>
      </c>
      <c r="L13" s="103">
        <v>46280</v>
      </c>
      <c r="M13" s="103">
        <v>46295</v>
      </c>
      <c r="N13" s="103">
        <v>46301</v>
      </c>
    </row>
    <row r="14" spans="1:14" ht="21.4" x14ac:dyDescent="0.3">
      <c r="A14" s="34" t="s">
        <v>26</v>
      </c>
      <c r="B14" s="91" t="s">
        <v>16</v>
      </c>
      <c r="C14" s="83"/>
      <c r="D14" s="83" t="s">
        <v>11</v>
      </c>
      <c r="E14" s="83" t="s">
        <v>12</v>
      </c>
      <c r="F14" s="83" t="s">
        <v>13</v>
      </c>
      <c r="G14" s="6"/>
      <c r="H14" s="6"/>
      <c r="I14" s="32" t="b">
        <v>0</v>
      </c>
      <c r="J14" s="104" t="s">
        <v>352</v>
      </c>
      <c r="K14" s="103">
        <v>46213</v>
      </c>
      <c r="L14" s="103">
        <v>46220</v>
      </c>
      <c r="M14" s="103">
        <v>46234</v>
      </c>
      <c r="N14" s="103">
        <v>46240</v>
      </c>
    </row>
    <row r="15" spans="1:14" ht="21.4" x14ac:dyDescent="0.3">
      <c r="A15" s="34" t="s">
        <v>27</v>
      </c>
      <c r="B15" s="92" t="s">
        <v>10</v>
      </c>
      <c r="C15" s="83"/>
      <c r="D15" s="83" t="s">
        <v>11</v>
      </c>
      <c r="E15" s="83" t="s">
        <v>12</v>
      </c>
      <c r="F15" s="83" t="s">
        <v>13</v>
      </c>
      <c r="G15" s="6"/>
      <c r="H15" s="6"/>
      <c r="I15" s="32" t="b">
        <v>0</v>
      </c>
      <c r="J15" s="104" t="s">
        <v>354</v>
      </c>
      <c r="K15" s="103">
        <v>46273</v>
      </c>
      <c r="L15" s="103">
        <v>46280</v>
      </c>
      <c r="M15" s="103">
        <v>46295</v>
      </c>
      <c r="N15" s="103">
        <v>46301</v>
      </c>
    </row>
    <row r="16" spans="1:14" ht="21.4" x14ac:dyDescent="0.3">
      <c r="A16" s="34" t="s">
        <v>28</v>
      </c>
      <c r="B16" s="91" t="s">
        <v>16</v>
      </c>
      <c r="C16" s="83"/>
      <c r="D16" s="83" t="s">
        <v>11</v>
      </c>
      <c r="E16" s="83" t="s">
        <v>12</v>
      </c>
      <c r="F16" s="83" t="s">
        <v>13</v>
      </c>
      <c r="G16" s="6"/>
      <c r="H16" s="6"/>
      <c r="I16" s="32" t="b">
        <v>0</v>
      </c>
      <c r="J16" s="104" t="s">
        <v>352</v>
      </c>
      <c r="K16" s="103">
        <v>46213</v>
      </c>
      <c r="L16" s="103">
        <v>46220</v>
      </c>
      <c r="M16" s="103">
        <v>46234</v>
      </c>
      <c r="N16" s="103">
        <v>46240</v>
      </c>
    </row>
    <row r="17" spans="1:14" ht="21.4" x14ac:dyDescent="0.3">
      <c r="A17" s="34" t="s">
        <v>29</v>
      </c>
      <c r="B17" s="92" t="s">
        <v>10</v>
      </c>
      <c r="C17" s="83"/>
      <c r="D17" s="83" t="s">
        <v>11</v>
      </c>
      <c r="E17" s="83" t="s">
        <v>12</v>
      </c>
      <c r="F17" s="83" t="s">
        <v>13</v>
      </c>
      <c r="G17" s="6"/>
      <c r="H17" s="6"/>
      <c r="I17" s="32" t="b">
        <v>0</v>
      </c>
      <c r="J17" s="104" t="s">
        <v>354</v>
      </c>
      <c r="K17" s="103">
        <v>46273</v>
      </c>
      <c r="L17" s="103">
        <v>46280</v>
      </c>
      <c r="M17" s="103">
        <v>46295</v>
      </c>
      <c r="N17" s="103">
        <v>46301</v>
      </c>
    </row>
    <row r="18" spans="1:14" ht="21.4" x14ac:dyDescent="0.3">
      <c r="A18" s="34" t="s">
        <v>30</v>
      </c>
      <c r="B18" s="91" t="s">
        <v>16</v>
      </c>
      <c r="C18" s="83"/>
      <c r="D18" s="83" t="s">
        <v>11</v>
      </c>
      <c r="E18" s="83" t="s">
        <v>12</v>
      </c>
      <c r="F18" s="83" t="s">
        <v>13</v>
      </c>
      <c r="G18" s="6"/>
      <c r="H18" s="6"/>
      <c r="I18" s="32" t="b">
        <v>0</v>
      </c>
      <c r="J18" s="104" t="s">
        <v>351</v>
      </c>
      <c r="K18" s="103">
        <v>46197</v>
      </c>
      <c r="L18" s="103">
        <v>46204</v>
      </c>
      <c r="M18" s="103">
        <v>46218</v>
      </c>
      <c r="N18" s="103">
        <v>46224</v>
      </c>
    </row>
    <row r="19" spans="1:14" ht="21.4" x14ac:dyDescent="0.3">
      <c r="A19" s="34" t="s">
        <v>31</v>
      </c>
      <c r="B19" s="92" t="s">
        <v>10</v>
      </c>
      <c r="C19" s="83"/>
      <c r="D19" s="83" t="s">
        <v>11</v>
      </c>
      <c r="E19" s="83" t="s">
        <v>12</v>
      </c>
      <c r="F19" s="83" t="s">
        <v>13</v>
      </c>
      <c r="G19" s="6"/>
      <c r="H19" s="6"/>
      <c r="I19" s="32" t="b">
        <v>0</v>
      </c>
      <c r="J19" s="104" t="s">
        <v>354</v>
      </c>
      <c r="K19" s="103">
        <v>46273</v>
      </c>
      <c r="L19" s="103">
        <v>46280</v>
      </c>
      <c r="M19" s="103">
        <v>46295</v>
      </c>
      <c r="N19" s="103">
        <v>46301</v>
      </c>
    </row>
    <row r="20" spans="1:14" ht="21.4" x14ac:dyDescent="0.3">
      <c r="A20" s="34" t="s">
        <v>32</v>
      </c>
      <c r="B20" s="91" t="s">
        <v>16</v>
      </c>
      <c r="C20" s="83"/>
      <c r="D20" s="83" t="s">
        <v>11</v>
      </c>
      <c r="E20" s="83" t="s">
        <v>12</v>
      </c>
      <c r="F20" s="83" t="s">
        <v>13</v>
      </c>
      <c r="G20" s="6"/>
      <c r="H20" s="6"/>
      <c r="I20" s="32" t="b">
        <v>0</v>
      </c>
      <c r="J20" s="104" t="s">
        <v>351</v>
      </c>
      <c r="K20" s="103">
        <v>46197</v>
      </c>
      <c r="L20" s="103">
        <v>46204</v>
      </c>
      <c r="M20" s="103">
        <v>46218</v>
      </c>
      <c r="N20" s="103">
        <v>46224</v>
      </c>
    </row>
    <row r="21" spans="1:14" ht="21.4" x14ac:dyDescent="0.3">
      <c r="A21" s="34" t="s">
        <v>33</v>
      </c>
      <c r="B21" s="92" t="s">
        <v>10</v>
      </c>
      <c r="C21" s="83"/>
      <c r="D21" s="83" t="s">
        <v>11</v>
      </c>
      <c r="E21" s="83" t="s">
        <v>12</v>
      </c>
      <c r="F21" s="83" t="s">
        <v>13</v>
      </c>
      <c r="G21" s="6"/>
      <c r="H21" s="6"/>
      <c r="I21" s="32" t="b">
        <v>0</v>
      </c>
      <c r="J21" s="104" t="s">
        <v>353</v>
      </c>
      <c r="K21" s="103">
        <v>46259</v>
      </c>
      <c r="L21" s="103">
        <v>46266</v>
      </c>
      <c r="M21" s="103">
        <v>46280</v>
      </c>
      <c r="N21" s="103">
        <v>46286</v>
      </c>
    </row>
    <row r="22" spans="1:14" ht="21.4" x14ac:dyDescent="0.3">
      <c r="A22" s="34" t="s">
        <v>34</v>
      </c>
      <c r="B22" s="91" t="s">
        <v>16</v>
      </c>
      <c r="C22" s="83"/>
      <c r="D22" s="83" t="s">
        <v>11</v>
      </c>
      <c r="E22" s="83" t="s">
        <v>12</v>
      </c>
      <c r="F22" s="83" t="s">
        <v>13</v>
      </c>
      <c r="G22" s="6"/>
      <c r="H22" s="6"/>
      <c r="I22" s="32" t="b">
        <v>0</v>
      </c>
      <c r="J22" s="104" t="s">
        <v>351</v>
      </c>
      <c r="K22" s="103">
        <v>46197</v>
      </c>
      <c r="L22" s="103">
        <v>46204</v>
      </c>
      <c r="M22" s="103">
        <v>46218</v>
      </c>
      <c r="N22" s="103">
        <v>46224</v>
      </c>
    </row>
    <row r="23" spans="1:14" ht="21.4" x14ac:dyDescent="0.3">
      <c r="A23" s="34" t="s">
        <v>35</v>
      </c>
      <c r="B23" s="92" t="s">
        <v>10</v>
      </c>
      <c r="C23" s="83"/>
      <c r="D23" s="83" t="s">
        <v>11</v>
      </c>
      <c r="E23" s="83" t="s">
        <v>12</v>
      </c>
      <c r="F23" s="83" t="s">
        <v>13</v>
      </c>
      <c r="G23" s="6"/>
      <c r="H23" s="6"/>
      <c r="I23" s="32" t="b">
        <v>0</v>
      </c>
      <c r="J23" s="104" t="s">
        <v>353</v>
      </c>
      <c r="K23" s="103">
        <v>46259</v>
      </c>
      <c r="L23" s="103">
        <v>46266</v>
      </c>
      <c r="M23" s="103">
        <v>46280</v>
      </c>
      <c r="N23" s="103">
        <v>46286</v>
      </c>
    </row>
    <row r="24" spans="1:14" ht="21.4" x14ac:dyDescent="0.3">
      <c r="A24" s="34" t="s">
        <v>36</v>
      </c>
      <c r="B24" s="91" t="s">
        <v>16</v>
      </c>
      <c r="C24" s="83"/>
      <c r="D24" s="83" t="s">
        <v>11</v>
      </c>
      <c r="E24" s="83" t="s">
        <v>12</v>
      </c>
      <c r="F24" s="83" t="s">
        <v>13</v>
      </c>
      <c r="G24" s="6"/>
      <c r="H24" s="6"/>
      <c r="I24" s="32" t="b">
        <v>0</v>
      </c>
      <c r="J24" s="104" t="s">
        <v>351</v>
      </c>
      <c r="K24" s="103">
        <v>46197</v>
      </c>
      <c r="L24" s="103">
        <v>46204</v>
      </c>
      <c r="M24" s="103">
        <v>46218</v>
      </c>
      <c r="N24" s="103">
        <v>46224</v>
      </c>
    </row>
    <row r="25" spans="1:14" ht="21.4" x14ac:dyDescent="0.3">
      <c r="A25" s="34" t="s">
        <v>37</v>
      </c>
      <c r="B25" s="92" t="s">
        <v>10</v>
      </c>
      <c r="C25" s="83"/>
      <c r="D25" s="83" t="s">
        <v>11</v>
      </c>
      <c r="E25" s="83" t="s">
        <v>12</v>
      </c>
      <c r="F25" s="83" t="s">
        <v>13</v>
      </c>
      <c r="G25" s="6"/>
      <c r="H25" s="6"/>
      <c r="I25" s="32" t="b">
        <v>0</v>
      </c>
      <c r="J25" s="104" t="s">
        <v>353</v>
      </c>
      <c r="K25" s="103">
        <v>46259</v>
      </c>
      <c r="L25" s="103">
        <v>46266</v>
      </c>
      <c r="M25" s="103">
        <v>46280</v>
      </c>
      <c r="N25" s="103">
        <v>46286</v>
      </c>
    </row>
    <row r="26" spans="1:14" ht="21.4" x14ac:dyDescent="0.3">
      <c r="A26" s="34" t="s">
        <v>38</v>
      </c>
      <c r="B26" s="91" t="s">
        <v>16</v>
      </c>
      <c r="C26" s="83"/>
      <c r="D26" s="83" t="s">
        <v>11</v>
      </c>
      <c r="E26" s="83" t="s">
        <v>12</v>
      </c>
      <c r="F26" s="83" t="s">
        <v>13</v>
      </c>
      <c r="G26" s="6"/>
      <c r="H26" s="6"/>
      <c r="I26" s="32" t="b">
        <v>0</v>
      </c>
      <c r="J26" s="104" t="s">
        <v>351</v>
      </c>
      <c r="K26" s="103">
        <v>46197</v>
      </c>
      <c r="L26" s="103">
        <v>46204</v>
      </c>
      <c r="M26" s="103">
        <v>46218</v>
      </c>
      <c r="N26" s="103">
        <v>46224</v>
      </c>
    </row>
    <row r="27" spans="1:14" ht="21.4" x14ac:dyDescent="0.3">
      <c r="A27" s="34" t="s">
        <v>39</v>
      </c>
      <c r="B27" s="92" t="s">
        <v>10</v>
      </c>
      <c r="C27" s="83"/>
      <c r="D27" s="83" t="s">
        <v>11</v>
      </c>
      <c r="E27" s="83" t="s">
        <v>12</v>
      </c>
      <c r="F27" s="83" t="s">
        <v>13</v>
      </c>
      <c r="G27" s="6"/>
      <c r="H27" s="6"/>
      <c r="I27" s="32" t="b">
        <v>0</v>
      </c>
      <c r="J27" s="104" t="s">
        <v>353</v>
      </c>
      <c r="K27" s="103">
        <v>46259</v>
      </c>
      <c r="L27" s="103">
        <v>46266</v>
      </c>
      <c r="M27" s="103">
        <v>46280</v>
      </c>
      <c r="N27" s="103">
        <v>46286</v>
      </c>
    </row>
    <row r="28" spans="1:14" ht="21.4" x14ac:dyDescent="0.3">
      <c r="A28" s="34" t="s">
        <v>40</v>
      </c>
      <c r="B28" s="91" t="s">
        <v>16</v>
      </c>
      <c r="C28" s="83"/>
      <c r="D28" s="83" t="s">
        <v>11</v>
      </c>
      <c r="E28" s="83" t="s">
        <v>12</v>
      </c>
      <c r="F28" s="83" t="s">
        <v>13</v>
      </c>
      <c r="G28" s="6"/>
      <c r="H28" s="6"/>
      <c r="I28" s="32" t="b">
        <v>0</v>
      </c>
      <c r="J28" s="104" t="s">
        <v>351</v>
      </c>
      <c r="K28" s="103">
        <v>46197</v>
      </c>
      <c r="L28" s="103">
        <v>46204</v>
      </c>
      <c r="M28" s="103">
        <v>46218</v>
      </c>
      <c r="N28" s="103">
        <v>46224</v>
      </c>
    </row>
    <row r="29" spans="1:14" ht="21.4" x14ac:dyDescent="0.3">
      <c r="A29" s="34" t="s">
        <v>41</v>
      </c>
      <c r="B29" s="92" t="s">
        <v>10</v>
      </c>
      <c r="C29" s="83"/>
      <c r="D29" s="83" t="s">
        <v>11</v>
      </c>
      <c r="E29" s="83" t="s">
        <v>12</v>
      </c>
      <c r="F29" s="83" t="s">
        <v>13</v>
      </c>
      <c r="G29" s="6"/>
      <c r="H29" s="6"/>
      <c r="I29" s="32" t="b">
        <v>0</v>
      </c>
      <c r="J29" s="104" t="s">
        <v>353</v>
      </c>
      <c r="K29" s="103">
        <v>46259</v>
      </c>
      <c r="L29" s="103">
        <v>46266</v>
      </c>
      <c r="M29" s="103">
        <v>46280</v>
      </c>
      <c r="N29" s="103">
        <v>46286</v>
      </c>
    </row>
    <row r="30" spans="1:14" ht="21.4" x14ac:dyDescent="0.3">
      <c r="A30" s="34" t="s">
        <v>42</v>
      </c>
      <c r="B30" s="91" t="s">
        <v>16</v>
      </c>
      <c r="C30" s="83"/>
      <c r="D30" s="83" t="s">
        <v>11</v>
      </c>
      <c r="E30" s="83" t="s">
        <v>12</v>
      </c>
      <c r="F30" s="83" t="s">
        <v>13</v>
      </c>
      <c r="G30" s="6"/>
      <c r="H30" s="6"/>
      <c r="I30" s="32" t="b">
        <v>0</v>
      </c>
      <c r="J30" s="104" t="s">
        <v>351</v>
      </c>
      <c r="K30" s="103">
        <v>46197</v>
      </c>
      <c r="L30" s="103">
        <v>46204</v>
      </c>
      <c r="M30" s="103">
        <v>46218</v>
      </c>
      <c r="N30" s="103">
        <v>46224</v>
      </c>
    </row>
    <row r="31" spans="1:14" ht="21.4" x14ac:dyDescent="0.3">
      <c r="A31" s="34" t="s">
        <v>43</v>
      </c>
      <c r="B31" s="92" t="s">
        <v>10</v>
      </c>
      <c r="C31" s="83"/>
      <c r="D31" s="83" t="s">
        <v>11</v>
      </c>
      <c r="E31" s="83" t="s">
        <v>12</v>
      </c>
      <c r="F31" s="83" t="s">
        <v>13</v>
      </c>
      <c r="G31" s="6"/>
      <c r="H31" s="6"/>
      <c r="I31" s="32" t="b">
        <v>0</v>
      </c>
      <c r="J31" s="104" t="s">
        <v>353</v>
      </c>
      <c r="K31" s="103">
        <v>46259</v>
      </c>
      <c r="L31" s="103">
        <v>46266</v>
      </c>
      <c r="M31" s="103">
        <v>46280</v>
      </c>
      <c r="N31" s="103">
        <v>46286</v>
      </c>
    </row>
    <row r="32" spans="1:14" ht="21.4" x14ac:dyDescent="0.3">
      <c r="A32" s="34" t="s">
        <v>44</v>
      </c>
      <c r="B32" s="91" t="s">
        <v>16</v>
      </c>
      <c r="C32" s="83"/>
      <c r="D32" s="83" t="s">
        <v>11</v>
      </c>
      <c r="E32" s="83" t="s">
        <v>12</v>
      </c>
      <c r="F32" s="83" t="s">
        <v>13</v>
      </c>
      <c r="G32" s="6"/>
      <c r="H32" s="6"/>
      <c r="I32" s="32" t="b">
        <v>0</v>
      </c>
      <c r="J32" s="104" t="s">
        <v>351</v>
      </c>
      <c r="K32" s="103">
        <v>46197</v>
      </c>
      <c r="L32" s="103">
        <v>46204</v>
      </c>
      <c r="M32" s="103">
        <v>46218</v>
      </c>
      <c r="N32" s="103">
        <v>46224</v>
      </c>
    </row>
    <row r="33" spans="1:14" ht="21.4" x14ac:dyDescent="0.3">
      <c r="A33" s="34" t="s">
        <v>45</v>
      </c>
      <c r="B33" s="92" t="s">
        <v>10</v>
      </c>
      <c r="C33" s="83"/>
      <c r="D33" s="83" t="s">
        <v>11</v>
      </c>
      <c r="E33" s="83" t="s">
        <v>12</v>
      </c>
      <c r="F33" s="83" t="s">
        <v>13</v>
      </c>
      <c r="G33" s="6"/>
      <c r="H33" s="6"/>
      <c r="I33" s="32" t="b">
        <v>0</v>
      </c>
      <c r="J33" s="104" t="s">
        <v>353</v>
      </c>
      <c r="K33" s="103">
        <v>46259</v>
      </c>
      <c r="L33" s="103">
        <v>46266</v>
      </c>
      <c r="M33" s="103">
        <v>46280</v>
      </c>
      <c r="N33" s="103">
        <v>46286</v>
      </c>
    </row>
    <row r="34" spans="1:14" ht="21.4" x14ac:dyDescent="0.3">
      <c r="A34" s="34" t="s">
        <v>46</v>
      </c>
      <c r="B34" s="92" t="s">
        <v>10</v>
      </c>
      <c r="C34" s="83"/>
      <c r="D34" s="83" t="s">
        <v>11</v>
      </c>
      <c r="E34" s="83" t="s">
        <v>12</v>
      </c>
      <c r="F34" s="83" t="s">
        <v>13</v>
      </c>
      <c r="G34" s="6"/>
      <c r="H34" s="6"/>
      <c r="I34" s="32" t="b">
        <v>0</v>
      </c>
      <c r="J34" s="104" t="s">
        <v>353</v>
      </c>
      <c r="K34" s="103">
        <v>46259</v>
      </c>
      <c r="L34" s="103">
        <v>46266</v>
      </c>
      <c r="M34" s="103">
        <v>46280</v>
      </c>
      <c r="N34" s="103">
        <v>46286</v>
      </c>
    </row>
    <row r="35" spans="1:14" ht="21.4" x14ac:dyDescent="0.3">
      <c r="A35" s="34" t="s">
        <v>47</v>
      </c>
      <c r="B35" s="92" t="s">
        <v>10</v>
      </c>
      <c r="C35" s="83"/>
      <c r="D35" s="83" t="s">
        <v>11</v>
      </c>
      <c r="E35" s="83" t="s">
        <v>12</v>
      </c>
      <c r="F35" s="83" t="s">
        <v>13</v>
      </c>
      <c r="G35" s="6"/>
      <c r="H35" s="6"/>
      <c r="I35" s="32" t="b">
        <v>0</v>
      </c>
      <c r="J35" s="104" t="s">
        <v>348</v>
      </c>
      <c r="K35" s="103">
        <v>46195</v>
      </c>
      <c r="L35" s="103">
        <v>46202</v>
      </c>
      <c r="M35" s="103">
        <v>46221</v>
      </c>
      <c r="N35" s="103">
        <v>46221</v>
      </c>
    </row>
    <row r="36" spans="1:14" ht="21.4" x14ac:dyDescent="0.3">
      <c r="A36" s="34" t="s">
        <v>48</v>
      </c>
      <c r="B36" s="91" t="s">
        <v>16</v>
      </c>
      <c r="C36" s="83"/>
      <c r="D36" s="83" t="s">
        <v>11</v>
      </c>
      <c r="E36" s="83" t="s">
        <v>12</v>
      </c>
      <c r="F36" s="83" t="s">
        <v>13</v>
      </c>
      <c r="G36" s="6"/>
      <c r="H36" s="6"/>
      <c r="I36" s="32" t="b">
        <v>0</v>
      </c>
      <c r="J36" s="104" t="s">
        <v>345</v>
      </c>
      <c r="K36" s="103">
        <v>46179</v>
      </c>
      <c r="L36" s="103">
        <v>46186</v>
      </c>
      <c r="M36" s="103">
        <v>46202</v>
      </c>
      <c r="N36" s="103">
        <v>46207</v>
      </c>
    </row>
    <row r="37" spans="1:14" ht="21.4" x14ac:dyDescent="0.3">
      <c r="A37" s="34" t="s">
        <v>49</v>
      </c>
      <c r="B37" s="92" t="s">
        <v>10</v>
      </c>
      <c r="C37" s="83"/>
      <c r="D37" s="83" t="s">
        <v>11</v>
      </c>
      <c r="E37" s="83" t="s">
        <v>12</v>
      </c>
      <c r="F37" s="83" t="s">
        <v>13</v>
      </c>
      <c r="G37" s="6"/>
      <c r="H37" s="6"/>
      <c r="I37" s="32" t="b">
        <v>0</v>
      </c>
      <c r="J37" s="104" t="s">
        <v>348</v>
      </c>
      <c r="K37" s="103">
        <v>46195</v>
      </c>
      <c r="L37" s="103">
        <v>46202</v>
      </c>
      <c r="M37" s="103">
        <v>46221</v>
      </c>
      <c r="N37" s="103">
        <v>46221</v>
      </c>
    </row>
    <row r="38" spans="1:14" ht="21.4" x14ac:dyDescent="0.3">
      <c r="A38" s="34" t="s">
        <v>50</v>
      </c>
      <c r="B38" s="91" t="s">
        <v>16</v>
      </c>
      <c r="C38" s="83"/>
      <c r="D38" s="83" t="s">
        <v>11</v>
      </c>
      <c r="E38" s="83" t="s">
        <v>12</v>
      </c>
      <c r="F38" s="83" t="s">
        <v>13</v>
      </c>
      <c r="G38" s="6"/>
      <c r="H38" s="6"/>
      <c r="I38" s="32" t="b">
        <v>0</v>
      </c>
      <c r="J38" s="104" t="s">
        <v>345</v>
      </c>
      <c r="K38" s="103">
        <v>46179</v>
      </c>
      <c r="L38" s="103">
        <v>46186</v>
      </c>
      <c r="M38" s="103">
        <v>46202</v>
      </c>
      <c r="N38" s="103">
        <v>46207</v>
      </c>
    </row>
    <row r="39" spans="1:14" ht="21.4" x14ac:dyDescent="0.3">
      <c r="A39" s="34" t="s">
        <v>51</v>
      </c>
      <c r="B39" s="92" t="s">
        <v>10</v>
      </c>
      <c r="C39" s="83"/>
      <c r="D39" s="83" t="s">
        <v>11</v>
      </c>
      <c r="E39" s="83" t="s">
        <v>12</v>
      </c>
      <c r="F39" s="83" t="s">
        <v>13</v>
      </c>
      <c r="G39" s="6"/>
      <c r="H39" s="6"/>
      <c r="I39" s="32" t="b">
        <v>0</v>
      </c>
      <c r="J39" s="104" t="s">
        <v>348</v>
      </c>
      <c r="K39" s="103">
        <v>46195</v>
      </c>
      <c r="L39" s="103">
        <v>46202</v>
      </c>
      <c r="M39" s="103">
        <v>46221</v>
      </c>
      <c r="N39" s="103">
        <v>46221</v>
      </c>
    </row>
    <row r="40" spans="1:14" ht="21.4" x14ac:dyDescent="0.3">
      <c r="A40" s="34" t="s">
        <v>52</v>
      </c>
      <c r="B40" s="91" t="s">
        <v>16</v>
      </c>
      <c r="C40" s="83"/>
      <c r="D40" s="83" t="s">
        <v>11</v>
      </c>
      <c r="E40" s="83" t="s">
        <v>12</v>
      </c>
      <c r="F40" s="83" t="s">
        <v>13</v>
      </c>
      <c r="G40" s="6"/>
      <c r="H40" s="6"/>
      <c r="I40" s="32" t="b">
        <v>0</v>
      </c>
      <c r="J40" s="104" t="s">
        <v>345</v>
      </c>
      <c r="K40" s="103">
        <v>46179</v>
      </c>
      <c r="L40" s="103">
        <v>46186</v>
      </c>
      <c r="M40" s="103">
        <v>46202</v>
      </c>
      <c r="N40" s="103">
        <v>46207</v>
      </c>
    </row>
    <row r="41" spans="1:14" ht="21.4" x14ac:dyDescent="0.3">
      <c r="A41" s="34" t="s">
        <v>53</v>
      </c>
      <c r="B41" s="92" t="s">
        <v>10</v>
      </c>
      <c r="C41" s="83"/>
      <c r="D41" s="83" t="s">
        <v>11</v>
      </c>
      <c r="E41" s="83" t="s">
        <v>12</v>
      </c>
      <c r="F41" s="83" t="s">
        <v>13</v>
      </c>
      <c r="G41" s="6"/>
      <c r="H41" s="6"/>
      <c r="I41" s="32" t="b">
        <v>0</v>
      </c>
      <c r="J41" s="104" t="s">
        <v>348</v>
      </c>
      <c r="K41" s="103">
        <v>46195</v>
      </c>
      <c r="L41" s="103">
        <v>46202</v>
      </c>
      <c r="M41" s="103">
        <v>46221</v>
      </c>
      <c r="N41" s="103">
        <v>46221</v>
      </c>
    </row>
    <row r="42" spans="1:14" ht="21.4" x14ac:dyDescent="0.3">
      <c r="A42" s="34" t="s">
        <v>54</v>
      </c>
      <c r="B42" s="91" t="s">
        <v>16</v>
      </c>
      <c r="C42" s="83"/>
      <c r="D42" s="83" t="s">
        <v>11</v>
      </c>
      <c r="E42" s="83" t="s">
        <v>12</v>
      </c>
      <c r="F42" s="83" t="s">
        <v>13</v>
      </c>
      <c r="G42" s="6"/>
      <c r="H42" s="6"/>
      <c r="I42" s="32" t="b">
        <v>0</v>
      </c>
      <c r="J42" s="104" t="s">
        <v>345</v>
      </c>
      <c r="K42" s="103">
        <v>46179</v>
      </c>
      <c r="L42" s="103">
        <v>46186</v>
      </c>
      <c r="M42" s="103">
        <v>46202</v>
      </c>
      <c r="N42" s="103">
        <v>46207</v>
      </c>
    </row>
    <row r="43" spans="1:14" ht="21.4" x14ac:dyDescent="0.3">
      <c r="A43" s="34" t="s">
        <v>55</v>
      </c>
      <c r="B43" s="92" t="s">
        <v>10</v>
      </c>
      <c r="C43" s="83"/>
      <c r="D43" s="83" t="s">
        <v>11</v>
      </c>
      <c r="E43" s="83" t="s">
        <v>12</v>
      </c>
      <c r="F43" s="83" t="s">
        <v>13</v>
      </c>
      <c r="G43" s="6"/>
      <c r="H43" s="6"/>
      <c r="I43" s="32" t="b">
        <v>0</v>
      </c>
      <c r="J43" s="104" t="s">
        <v>348</v>
      </c>
      <c r="K43" s="103">
        <v>46195</v>
      </c>
      <c r="L43" s="103">
        <v>46202</v>
      </c>
      <c r="M43" s="103">
        <v>46221</v>
      </c>
      <c r="N43" s="103">
        <v>46221</v>
      </c>
    </row>
    <row r="44" spans="1:14" ht="21.4" x14ac:dyDescent="0.3">
      <c r="A44" s="34" t="s">
        <v>56</v>
      </c>
      <c r="B44" s="91" t="s">
        <v>16</v>
      </c>
      <c r="C44" s="83"/>
      <c r="D44" s="83" t="s">
        <v>11</v>
      </c>
      <c r="E44" s="83" t="s">
        <v>12</v>
      </c>
      <c r="F44" s="83" t="s">
        <v>13</v>
      </c>
      <c r="G44" s="6"/>
      <c r="H44" s="6"/>
      <c r="I44" s="32" t="b">
        <v>0</v>
      </c>
      <c r="J44" s="104" t="s">
        <v>345</v>
      </c>
      <c r="K44" s="103">
        <v>46179</v>
      </c>
      <c r="L44" s="103">
        <v>46186</v>
      </c>
      <c r="M44" s="103">
        <v>46202</v>
      </c>
      <c r="N44" s="103">
        <v>46207</v>
      </c>
    </row>
    <row r="45" spans="1:14" ht="21.4" x14ac:dyDescent="0.3">
      <c r="A45" s="34" t="s">
        <v>57</v>
      </c>
      <c r="B45" s="92" t="s">
        <v>10</v>
      </c>
      <c r="C45" s="83"/>
      <c r="D45" s="83" t="s">
        <v>11</v>
      </c>
      <c r="E45" s="83" t="s">
        <v>12</v>
      </c>
      <c r="F45" s="83" t="s">
        <v>13</v>
      </c>
      <c r="G45" s="6"/>
      <c r="H45" s="6"/>
      <c r="I45" s="32" t="b">
        <v>0</v>
      </c>
      <c r="J45" s="104" t="s">
        <v>348</v>
      </c>
      <c r="K45" s="103">
        <v>46195</v>
      </c>
      <c r="L45" s="103">
        <v>46202</v>
      </c>
      <c r="M45" s="103">
        <v>46221</v>
      </c>
      <c r="N45" s="103">
        <v>46221</v>
      </c>
    </row>
    <row r="46" spans="1:14" ht="21.4" x14ac:dyDescent="0.3">
      <c r="A46" s="34" t="s">
        <v>58</v>
      </c>
      <c r="B46" s="91" t="s">
        <v>16</v>
      </c>
      <c r="C46" s="83"/>
      <c r="D46" s="83" t="s">
        <v>11</v>
      </c>
      <c r="E46" s="83" t="s">
        <v>12</v>
      </c>
      <c r="F46" s="83" t="s">
        <v>13</v>
      </c>
      <c r="G46" s="6"/>
      <c r="H46" s="6"/>
      <c r="I46" s="32" t="b">
        <v>0</v>
      </c>
      <c r="J46" s="104" t="s">
        <v>344</v>
      </c>
      <c r="K46" s="103">
        <v>46167</v>
      </c>
      <c r="L46" s="103">
        <v>46174</v>
      </c>
      <c r="M46" s="103">
        <v>46188</v>
      </c>
      <c r="N46" s="103">
        <v>46195</v>
      </c>
    </row>
    <row r="47" spans="1:14" ht="21.4" x14ac:dyDescent="0.3">
      <c r="A47" s="34" t="s">
        <v>59</v>
      </c>
      <c r="B47" s="92" t="s">
        <v>10</v>
      </c>
      <c r="C47" s="83"/>
      <c r="D47" s="83" t="s">
        <v>11</v>
      </c>
      <c r="E47" s="83" t="s">
        <v>12</v>
      </c>
      <c r="F47" s="83" t="s">
        <v>13</v>
      </c>
      <c r="G47" s="6"/>
      <c r="H47" s="6"/>
      <c r="I47" s="32" t="b">
        <v>0</v>
      </c>
      <c r="J47" s="104" t="s">
        <v>347</v>
      </c>
      <c r="K47" s="103">
        <v>46179</v>
      </c>
      <c r="L47" s="103">
        <v>46186</v>
      </c>
      <c r="M47" s="103">
        <v>46202</v>
      </c>
      <c r="N47" s="103">
        <v>46207</v>
      </c>
    </row>
    <row r="48" spans="1:14" ht="21.4" x14ac:dyDescent="0.3">
      <c r="A48" s="34" t="s">
        <v>60</v>
      </c>
      <c r="B48" s="91" t="s">
        <v>16</v>
      </c>
      <c r="C48" s="83"/>
      <c r="D48" s="83" t="s">
        <v>11</v>
      </c>
      <c r="E48" s="83" t="s">
        <v>12</v>
      </c>
      <c r="F48" s="83" t="s">
        <v>13</v>
      </c>
      <c r="G48" s="6"/>
      <c r="H48" s="6"/>
      <c r="I48" s="32" t="b">
        <v>0</v>
      </c>
      <c r="J48" s="104" t="s">
        <v>344</v>
      </c>
      <c r="K48" s="103">
        <v>46167</v>
      </c>
      <c r="L48" s="103">
        <v>46174</v>
      </c>
      <c r="M48" s="103">
        <v>46188</v>
      </c>
      <c r="N48" s="103">
        <v>46195</v>
      </c>
    </row>
    <row r="49" spans="1:14" ht="21.4" x14ac:dyDescent="0.3">
      <c r="A49" s="34" t="s">
        <v>61</v>
      </c>
      <c r="B49" s="92" t="s">
        <v>10</v>
      </c>
      <c r="C49" s="83"/>
      <c r="D49" s="83" t="s">
        <v>11</v>
      </c>
      <c r="E49" s="83" t="s">
        <v>12</v>
      </c>
      <c r="F49" s="83" t="s">
        <v>13</v>
      </c>
      <c r="G49" s="6"/>
      <c r="H49" s="6"/>
      <c r="I49" s="32" t="b">
        <v>0</v>
      </c>
      <c r="J49" s="104" t="s">
        <v>347</v>
      </c>
      <c r="K49" s="103">
        <v>46179</v>
      </c>
      <c r="L49" s="103">
        <v>46186</v>
      </c>
      <c r="M49" s="103">
        <v>46202</v>
      </c>
      <c r="N49" s="103">
        <v>46207</v>
      </c>
    </row>
    <row r="50" spans="1:14" ht="21.4" x14ac:dyDescent="0.3">
      <c r="A50" s="34" t="s">
        <v>62</v>
      </c>
      <c r="B50" s="91" t="s">
        <v>16</v>
      </c>
      <c r="C50" s="83"/>
      <c r="D50" s="83" t="s">
        <v>11</v>
      </c>
      <c r="E50" s="83" t="s">
        <v>12</v>
      </c>
      <c r="F50" s="83" t="s">
        <v>13</v>
      </c>
      <c r="G50" s="6"/>
      <c r="H50" s="6"/>
      <c r="I50" s="32" t="b">
        <v>0</v>
      </c>
      <c r="J50" s="104" t="s">
        <v>344</v>
      </c>
      <c r="K50" s="103">
        <v>46167</v>
      </c>
      <c r="L50" s="103">
        <v>46174</v>
      </c>
      <c r="M50" s="103">
        <v>46188</v>
      </c>
      <c r="N50" s="103">
        <v>46195</v>
      </c>
    </row>
    <row r="51" spans="1:14" ht="21.4" x14ac:dyDescent="0.3">
      <c r="A51" s="34" t="s">
        <v>63</v>
      </c>
      <c r="B51" s="92" t="s">
        <v>10</v>
      </c>
      <c r="C51" s="83"/>
      <c r="D51" s="83" t="s">
        <v>11</v>
      </c>
      <c r="E51" s="83" t="s">
        <v>12</v>
      </c>
      <c r="F51" s="83" t="s">
        <v>13</v>
      </c>
      <c r="G51" s="6"/>
      <c r="H51" s="6"/>
      <c r="I51" s="32" t="b">
        <v>0</v>
      </c>
      <c r="J51" s="104" t="s">
        <v>347</v>
      </c>
      <c r="K51" s="103">
        <v>46179</v>
      </c>
      <c r="L51" s="103">
        <v>46186</v>
      </c>
      <c r="M51" s="103">
        <v>46202</v>
      </c>
      <c r="N51" s="103">
        <v>46207</v>
      </c>
    </row>
    <row r="52" spans="1:14" ht="21.4" x14ac:dyDescent="0.3">
      <c r="A52" s="34" t="s">
        <v>64</v>
      </c>
      <c r="B52" s="91" t="s">
        <v>16</v>
      </c>
      <c r="C52" s="83"/>
      <c r="D52" s="83" t="s">
        <v>11</v>
      </c>
      <c r="E52" s="83" t="s">
        <v>12</v>
      </c>
      <c r="F52" s="83" t="s">
        <v>13</v>
      </c>
      <c r="G52" s="6"/>
      <c r="H52" s="6"/>
      <c r="I52" s="32" t="b">
        <v>0</v>
      </c>
      <c r="J52" s="104" t="s">
        <v>344</v>
      </c>
      <c r="K52" s="103">
        <v>46167</v>
      </c>
      <c r="L52" s="103">
        <v>46174</v>
      </c>
      <c r="M52" s="103">
        <v>46188</v>
      </c>
      <c r="N52" s="103">
        <v>46195</v>
      </c>
    </row>
    <row r="53" spans="1:14" ht="21.4" x14ac:dyDescent="0.3">
      <c r="A53" s="34" t="s">
        <v>65</v>
      </c>
      <c r="B53" s="92" t="s">
        <v>10</v>
      </c>
      <c r="C53" s="83"/>
      <c r="D53" s="83" t="s">
        <v>11</v>
      </c>
      <c r="E53" s="83" t="s">
        <v>12</v>
      </c>
      <c r="F53" s="83" t="s">
        <v>13</v>
      </c>
      <c r="G53" s="6"/>
      <c r="H53" s="6"/>
      <c r="I53" s="32" t="b">
        <v>0</v>
      </c>
      <c r="J53" s="104" t="s">
        <v>347</v>
      </c>
      <c r="K53" s="103">
        <v>46179</v>
      </c>
      <c r="L53" s="103">
        <v>46186</v>
      </c>
      <c r="M53" s="103">
        <v>46202</v>
      </c>
      <c r="N53" s="103">
        <v>46207</v>
      </c>
    </row>
    <row r="54" spans="1:14" ht="21.4" x14ac:dyDescent="0.3">
      <c r="A54" s="34" t="s">
        <v>66</v>
      </c>
      <c r="B54" s="91" t="s">
        <v>16</v>
      </c>
      <c r="C54" s="83"/>
      <c r="D54" s="83" t="s">
        <v>11</v>
      </c>
      <c r="E54" s="83" t="s">
        <v>12</v>
      </c>
      <c r="F54" s="83" t="s">
        <v>13</v>
      </c>
      <c r="G54" s="6"/>
      <c r="H54" s="6"/>
      <c r="I54" s="32" t="b">
        <v>0</v>
      </c>
      <c r="J54" s="104" t="s">
        <v>344</v>
      </c>
      <c r="K54" s="103">
        <v>46167</v>
      </c>
      <c r="L54" s="103">
        <v>46174</v>
      </c>
      <c r="M54" s="103">
        <v>46188</v>
      </c>
      <c r="N54" s="103">
        <v>46195</v>
      </c>
    </row>
    <row r="55" spans="1:14" ht="21.4" x14ac:dyDescent="0.3">
      <c r="A55" s="34" t="s">
        <v>67</v>
      </c>
      <c r="B55" s="92" t="s">
        <v>10</v>
      </c>
      <c r="C55" s="83"/>
      <c r="D55" s="83" t="s">
        <v>11</v>
      </c>
      <c r="E55" s="83" t="s">
        <v>12</v>
      </c>
      <c r="F55" s="83" t="s">
        <v>13</v>
      </c>
      <c r="G55" s="6"/>
      <c r="H55" s="6"/>
      <c r="I55" s="32" t="b">
        <v>0</v>
      </c>
      <c r="J55" s="104" t="s">
        <v>347</v>
      </c>
      <c r="K55" s="103">
        <v>46179</v>
      </c>
      <c r="L55" s="103">
        <v>46186</v>
      </c>
      <c r="M55" s="103">
        <v>46202</v>
      </c>
      <c r="N55" s="103">
        <v>46207</v>
      </c>
    </row>
    <row r="56" spans="1:14" ht="21.4" x14ac:dyDescent="0.3">
      <c r="A56" s="34" t="s">
        <v>68</v>
      </c>
      <c r="B56" s="91" t="s">
        <v>16</v>
      </c>
      <c r="C56" s="83"/>
      <c r="D56" s="83" t="s">
        <v>11</v>
      </c>
      <c r="E56" s="83" t="s">
        <v>12</v>
      </c>
      <c r="F56" s="83" t="s">
        <v>13</v>
      </c>
      <c r="G56" s="6"/>
      <c r="H56" s="6"/>
      <c r="I56" s="32" t="b">
        <v>0</v>
      </c>
      <c r="J56" s="104" t="s">
        <v>344</v>
      </c>
      <c r="K56" s="103">
        <v>46167</v>
      </c>
      <c r="L56" s="103">
        <v>46174</v>
      </c>
      <c r="M56" s="103">
        <v>46188</v>
      </c>
      <c r="N56" s="103">
        <v>46195</v>
      </c>
    </row>
    <row r="57" spans="1:14" ht="21.4" x14ac:dyDescent="0.3">
      <c r="A57" s="34" t="s">
        <v>69</v>
      </c>
      <c r="B57" s="92" t="s">
        <v>10</v>
      </c>
      <c r="C57" s="83"/>
      <c r="D57" s="83" t="s">
        <v>11</v>
      </c>
      <c r="E57" s="83" t="s">
        <v>12</v>
      </c>
      <c r="F57" s="83" t="s">
        <v>13</v>
      </c>
      <c r="G57" s="6"/>
      <c r="H57" s="6"/>
      <c r="I57" s="32" t="b">
        <v>0</v>
      </c>
      <c r="J57" s="104" t="s">
        <v>347</v>
      </c>
      <c r="K57" s="103">
        <v>46179</v>
      </c>
      <c r="L57" s="103">
        <v>46186</v>
      </c>
      <c r="M57" s="103">
        <v>46202</v>
      </c>
      <c r="N57" s="103">
        <v>46207</v>
      </c>
    </row>
    <row r="58" spans="1:14" ht="21.4" x14ac:dyDescent="0.3">
      <c r="A58" s="34" t="s">
        <v>70</v>
      </c>
      <c r="B58" s="91" t="s">
        <v>16</v>
      </c>
      <c r="C58" s="83"/>
      <c r="D58" s="83" t="s">
        <v>11</v>
      </c>
      <c r="E58" s="83" t="s">
        <v>12</v>
      </c>
      <c r="F58" s="83" t="s">
        <v>13</v>
      </c>
      <c r="G58" s="6"/>
      <c r="H58" s="6"/>
      <c r="I58" s="32" t="b">
        <v>0</v>
      </c>
      <c r="J58" s="104" t="s">
        <v>344</v>
      </c>
      <c r="K58" s="103">
        <v>46167</v>
      </c>
      <c r="L58" s="103">
        <v>46174</v>
      </c>
      <c r="M58" s="103">
        <v>46188</v>
      </c>
      <c r="N58" s="103">
        <v>46195</v>
      </c>
    </row>
    <row r="59" spans="1:14" ht="21.4" x14ac:dyDescent="0.3">
      <c r="A59" s="34" t="s">
        <v>71</v>
      </c>
      <c r="B59" s="92" t="s">
        <v>10</v>
      </c>
      <c r="C59" s="83"/>
      <c r="D59" s="83" t="s">
        <v>11</v>
      </c>
      <c r="E59" s="83" t="s">
        <v>12</v>
      </c>
      <c r="F59" s="83" t="s">
        <v>13</v>
      </c>
      <c r="G59" s="6"/>
      <c r="H59" s="6"/>
      <c r="I59" s="32" t="b">
        <v>0</v>
      </c>
      <c r="J59" s="104" t="s">
        <v>347</v>
      </c>
      <c r="K59" s="103">
        <v>46179</v>
      </c>
      <c r="L59" s="103">
        <v>46186</v>
      </c>
      <c r="M59" s="103">
        <v>46202</v>
      </c>
      <c r="N59" s="103">
        <v>46207</v>
      </c>
    </row>
    <row r="60" spans="1:14" ht="21.4" x14ac:dyDescent="0.3">
      <c r="A60" s="34" t="s">
        <v>72</v>
      </c>
      <c r="B60" s="91" t="s">
        <v>16</v>
      </c>
      <c r="C60" s="83"/>
      <c r="D60" s="83" t="s">
        <v>11</v>
      </c>
      <c r="E60" s="83" t="s">
        <v>12</v>
      </c>
      <c r="F60" s="83" t="s">
        <v>13</v>
      </c>
      <c r="G60" s="6"/>
      <c r="H60" s="6"/>
      <c r="I60" s="32" t="b">
        <v>0</v>
      </c>
      <c r="J60" s="104" t="s">
        <v>344</v>
      </c>
      <c r="K60" s="103">
        <v>46167</v>
      </c>
      <c r="L60" s="103">
        <v>46174</v>
      </c>
      <c r="M60" s="103">
        <v>46188</v>
      </c>
      <c r="N60" s="103">
        <v>46195</v>
      </c>
    </row>
    <row r="61" spans="1:14" ht="21.4" x14ac:dyDescent="0.3">
      <c r="A61" s="34" t="s">
        <v>73</v>
      </c>
      <c r="B61" s="92" t="s">
        <v>10</v>
      </c>
      <c r="C61" s="83"/>
      <c r="D61" s="83" t="s">
        <v>11</v>
      </c>
      <c r="E61" s="83" t="s">
        <v>12</v>
      </c>
      <c r="F61" s="83" t="s">
        <v>13</v>
      </c>
      <c r="G61" s="6"/>
      <c r="H61" s="6"/>
      <c r="I61" s="32" t="b">
        <v>0</v>
      </c>
      <c r="J61" s="104" t="s">
        <v>347</v>
      </c>
      <c r="K61" s="103">
        <v>46179</v>
      </c>
      <c r="L61" s="103">
        <v>46186</v>
      </c>
      <c r="M61" s="103">
        <v>46202</v>
      </c>
      <c r="N61" s="103">
        <v>46207</v>
      </c>
    </row>
    <row r="62" spans="1:14" ht="21.4" x14ac:dyDescent="0.3">
      <c r="A62" s="34" t="s">
        <v>74</v>
      </c>
      <c r="B62" s="91" t="s">
        <v>16</v>
      </c>
      <c r="C62" s="83" t="s">
        <v>75</v>
      </c>
      <c r="D62" s="83" t="s">
        <v>11</v>
      </c>
      <c r="E62" s="83" t="s">
        <v>12</v>
      </c>
      <c r="F62" s="83" t="s">
        <v>13</v>
      </c>
      <c r="G62" s="6">
        <v>6.7000000000000004E-2</v>
      </c>
      <c r="H62" s="88">
        <v>46186</v>
      </c>
      <c r="I62" s="32" t="b">
        <v>1</v>
      </c>
      <c r="J62" s="104" t="s">
        <v>343</v>
      </c>
      <c r="K62" s="103">
        <v>46153</v>
      </c>
      <c r="L62" s="103">
        <v>46160</v>
      </c>
      <c r="M62" s="103">
        <v>46174</v>
      </c>
      <c r="N62" s="103">
        <v>46179</v>
      </c>
    </row>
    <row r="63" spans="1:14" ht="21.4" x14ac:dyDescent="0.3">
      <c r="A63" s="34" t="s">
        <v>76</v>
      </c>
      <c r="B63" s="92" t="s">
        <v>10</v>
      </c>
      <c r="C63" s="83" t="s">
        <v>77</v>
      </c>
      <c r="D63" s="83" t="s">
        <v>11</v>
      </c>
      <c r="E63" s="83" t="s">
        <v>12</v>
      </c>
      <c r="F63" s="83" t="s">
        <v>13</v>
      </c>
      <c r="G63" s="6">
        <v>7.3999999999999996E-2</v>
      </c>
      <c r="H63" s="88">
        <v>46186</v>
      </c>
      <c r="I63" s="32" t="b">
        <v>1</v>
      </c>
      <c r="J63" s="104" t="s">
        <v>346</v>
      </c>
      <c r="K63" s="103">
        <v>46167</v>
      </c>
      <c r="L63" s="103">
        <v>46174</v>
      </c>
      <c r="M63" s="103">
        <v>46188</v>
      </c>
      <c r="N63" s="103">
        <v>46195</v>
      </c>
    </row>
    <row r="64" spans="1:14" ht="21.4" x14ac:dyDescent="0.3">
      <c r="A64" s="34" t="s">
        <v>78</v>
      </c>
      <c r="B64" s="91" t="s">
        <v>16</v>
      </c>
      <c r="C64" s="83" t="s">
        <v>79</v>
      </c>
      <c r="D64" s="83" t="s">
        <v>11</v>
      </c>
      <c r="E64" s="83" t="s">
        <v>12</v>
      </c>
      <c r="F64" s="83" t="s">
        <v>13</v>
      </c>
      <c r="G64" s="6">
        <v>6.6000000000000003E-2</v>
      </c>
      <c r="H64" s="88">
        <v>46186</v>
      </c>
      <c r="I64" s="32" t="b">
        <v>1</v>
      </c>
      <c r="J64" s="104" t="s">
        <v>343</v>
      </c>
      <c r="K64" s="103">
        <v>46153</v>
      </c>
      <c r="L64" s="103">
        <v>46160</v>
      </c>
      <c r="M64" s="103">
        <v>46174</v>
      </c>
      <c r="N64" s="103">
        <v>46179</v>
      </c>
    </row>
    <row r="65" spans="1:14" ht="21.4" x14ac:dyDescent="0.3">
      <c r="A65" s="34" t="s">
        <v>80</v>
      </c>
      <c r="B65" s="92" t="s">
        <v>10</v>
      </c>
      <c r="C65" s="83" t="s">
        <v>81</v>
      </c>
      <c r="D65" s="83" t="s">
        <v>11</v>
      </c>
      <c r="E65" s="83" t="s">
        <v>12</v>
      </c>
      <c r="F65" s="83" t="s">
        <v>13</v>
      </c>
      <c r="G65" s="6">
        <v>8.1000000000000003E-2</v>
      </c>
      <c r="H65" s="88">
        <v>46186</v>
      </c>
      <c r="I65" s="32" t="b">
        <v>1</v>
      </c>
      <c r="J65" s="104" t="s">
        <v>346</v>
      </c>
      <c r="K65" s="103">
        <v>46167</v>
      </c>
      <c r="L65" s="103">
        <v>46174</v>
      </c>
      <c r="M65" s="103">
        <v>46188</v>
      </c>
      <c r="N65" s="103">
        <v>46195</v>
      </c>
    </row>
    <row r="66" spans="1:14" ht="21.4" x14ac:dyDescent="0.3">
      <c r="A66" s="34" t="s">
        <v>82</v>
      </c>
      <c r="B66" s="91" t="s">
        <v>16</v>
      </c>
      <c r="C66" s="83" t="s">
        <v>83</v>
      </c>
      <c r="D66" s="83" t="s">
        <v>11</v>
      </c>
      <c r="E66" s="83" t="s">
        <v>12</v>
      </c>
      <c r="F66" s="83" t="s">
        <v>13</v>
      </c>
      <c r="G66" s="6">
        <v>6.7000000000000004E-2</v>
      </c>
      <c r="H66" s="88">
        <v>46186</v>
      </c>
      <c r="I66" s="32" t="b">
        <v>1</v>
      </c>
      <c r="J66" s="104" t="s">
        <v>343</v>
      </c>
      <c r="K66" s="103">
        <v>46153</v>
      </c>
      <c r="L66" s="103">
        <v>46160</v>
      </c>
      <c r="M66" s="103">
        <v>46174</v>
      </c>
      <c r="N66" s="103">
        <v>46179</v>
      </c>
    </row>
    <row r="67" spans="1:14" ht="21.4" x14ac:dyDescent="0.3">
      <c r="A67" s="34" t="s">
        <v>84</v>
      </c>
      <c r="B67" s="92" t="s">
        <v>10</v>
      </c>
      <c r="C67" s="83"/>
      <c r="D67" s="83" t="s">
        <v>11</v>
      </c>
      <c r="E67" s="83" t="s">
        <v>12</v>
      </c>
      <c r="F67" s="83" t="s">
        <v>13</v>
      </c>
      <c r="G67" s="6"/>
      <c r="H67" s="6"/>
      <c r="I67" s="32" t="b">
        <v>0</v>
      </c>
      <c r="J67" s="104" t="s">
        <v>346</v>
      </c>
      <c r="K67" s="103">
        <v>46167</v>
      </c>
      <c r="L67" s="103">
        <v>46174</v>
      </c>
      <c r="M67" s="103">
        <v>46188</v>
      </c>
      <c r="N67" s="103">
        <v>46195</v>
      </c>
    </row>
    <row r="68" spans="1:14" ht="21.4" x14ac:dyDescent="0.3">
      <c r="A68" s="34" t="s">
        <v>85</v>
      </c>
      <c r="B68" s="91" t="s">
        <v>16</v>
      </c>
      <c r="C68" s="83" t="s">
        <v>86</v>
      </c>
      <c r="D68" s="83" t="s">
        <v>11</v>
      </c>
      <c r="E68" s="83" t="s">
        <v>12</v>
      </c>
      <c r="F68" s="83" t="s">
        <v>13</v>
      </c>
      <c r="G68" s="6">
        <v>6.5000000000000002E-2</v>
      </c>
      <c r="H68" s="88">
        <v>46186</v>
      </c>
      <c r="I68" s="32" t="b">
        <v>1</v>
      </c>
      <c r="J68" s="104" t="s">
        <v>343</v>
      </c>
      <c r="K68" s="103">
        <v>46153</v>
      </c>
      <c r="L68" s="103">
        <v>46160</v>
      </c>
      <c r="M68" s="103">
        <v>46174</v>
      </c>
      <c r="N68" s="103">
        <v>46179</v>
      </c>
    </row>
    <row r="69" spans="1:14" ht="21.4" x14ac:dyDescent="0.3">
      <c r="A69" s="34" t="s">
        <v>87</v>
      </c>
      <c r="B69" s="92" t="s">
        <v>10</v>
      </c>
      <c r="C69" s="83"/>
      <c r="D69" s="83" t="s">
        <v>11</v>
      </c>
      <c r="E69" s="83" t="s">
        <v>12</v>
      </c>
      <c r="F69" s="83" t="s">
        <v>13</v>
      </c>
      <c r="G69" s="6"/>
      <c r="H69" s="6"/>
      <c r="I69" s="32" t="b">
        <v>0</v>
      </c>
      <c r="J69" s="104" t="s">
        <v>346</v>
      </c>
      <c r="K69" s="103">
        <v>46167</v>
      </c>
      <c r="L69" s="103">
        <v>46174</v>
      </c>
      <c r="M69" s="103">
        <v>46188</v>
      </c>
      <c r="N69" s="103">
        <v>46195</v>
      </c>
    </row>
    <row r="70" spans="1:14" ht="21.4" x14ac:dyDescent="0.3">
      <c r="A70" s="34" t="s">
        <v>88</v>
      </c>
      <c r="B70" s="91" t="s">
        <v>16</v>
      </c>
      <c r="C70" s="83" t="s">
        <v>89</v>
      </c>
      <c r="D70" s="83" t="s">
        <v>11</v>
      </c>
      <c r="E70" s="83" t="s">
        <v>12</v>
      </c>
      <c r="F70" s="83" t="s">
        <v>13</v>
      </c>
      <c r="G70" s="6">
        <v>6.6000000000000003E-2</v>
      </c>
      <c r="H70" s="88">
        <v>46186</v>
      </c>
      <c r="I70" s="32" t="b">
        <v>1</v>
      </c>
      <c r="J70" s="104" t="s">
        <v>343</v>
      </c>
      <c r="K70" s="103">
        <v>46153</v>
      </c>
      <c r="L70" s="103">
        <v>46160</v>
      </c>
      <c r="M70" s="103">
        <v>46174</v>
      </c>
      <c r="N70" s="103">
        <v>46179</v>
      </c>
    </row>
    <row r="71" spans="1:14" ht="21.4" x14ac:dyDescent="0.3">
      <c r="A71" s="34" t="s">
        <v>90</v>
      </c>
      <c r="B71" s="92" t="s">
        <v>10</v>
      </c>
      <c r="C71" s="83" t="s">
        <v>91</v>
      </c>
      <c r="D71" s="83" t="s">
        <v>11</v>
      </c>
      <c r="E71" s="83" t="s">
        <v>12</v>
      </c>
      <c r="F71" s="83" t="s">
        <v>13</v>
      </c>
      <c r="G71" s="6">
        <v>7.1999999999999995E-2</v>
      </c>
      <c r="H71" s="88">
        <v>46186</v>
      </c>
      <c r="I71" s="32" t="b">
        <v>1</v>
      </c>
      <c r="J71" s="104" t="s">
        <v>346</v>
      </c>
      <c r="K71" s="103">
        <v>46167</v>
      </c>
      <c r="L71" s="103">
        <v>46174</v>
      </c>
      <c r="M71" s="103">
        <v>46188</v>
      </c>
      <c r="N71" s="103">
        <v>46195</v>
      </c>
    </row>
    <row r="72" spans="1:14" ht="21.4" x14ac:dyDescent="0.3">
      <c r="A72" s="34" t="s">
        <v>92</v>
      </c>
      <c r="B72" s="91" t="s">
        <v>16</v>
      </c>
      <c r="C72" s="83" t="s">
        <v>93</v>
      </c>
      <c r="D72" s="83" t="s">
        <v>11</v>
      </c>
      <c r="E72" s="83" t="s">
        <v>12</v>
      </c>
      <c r="F72" s="83" t="s">
        <v>13</v>
      </c>
      <c r="G72" s="6">
        <v>8.3000000000000004E-2</v>
      </c>
      <c r="H72" s="88">
        <v>46182</v>
      </c>
      <c r="I72" s="32" t="b">
        <v>1</v>
      </c>
      <c r="J72" s="104" t="s">
        <v>343</v>
      </c>
      <c r="K72" s="103">
        <v>46153</v>
      </c>
      <c r="L72" s="103">
        <v>46160</v>
      </c>
      <c r="M72" s="103">
        <v>46174</v>
      </c>
      <c r="N72" s="103">
        <v>46179</v>
      </c>
    </row>
    <row r="73" spans="1:14" ht="21.4" x14ac:dyDescent="0.3">
      <c r="A73" s="34" t="s">
        <v>94</v>
      </c>
      <c r="B73" s="92" t="s">
        <v>10</v>
      </c>
      <c r="C73" s="83" t="s">
        <v>95</v>
      </c>
      <c r="D73" s="83" t="s">
        <v>11</v>
      </c>
      <c r="E73" s="83" t="s">
        <v>12</v>
      </c>
      <c r="F73" s="83" t="s">
        <v>13</v>
      </c>
      <c r="G73" s="6">
        <v>4.2000000000000003E-2</v>
      </c>
      <c r="H73" s="88">
        <v>46182</v>
      </c>
      <c r="I73" s="32" t="b">
        <v>1</v>
      </c>
      <c r="J73" s="104" t="s">
        <v>346</v>
      </c>
      <c r="K73" s="103">
        <v>46167</v>
      </c>
      <c r="L73" s="103">
        <v>46174</v>
      </c>
      <c r="M73" s="103">
        <v>46188</v>
      </c>
      <c r="N73" s="103">
        <v>46195</v>
      </c>
    </row>
    <row r="74" spans="1:14" ht="21.4" x14ac:dyDescent="0.3">
      <c r="A74" s="34" t="s">
        <v>96</v>
      </c>
      <c r="B74" s="91" t="s">
        <v>16</v>
      </c>
      <c r="C74" s="83" t="s">
        <v>97</v>
      </c>
      <c r="D74" s="83" t="s">
        <v>11</v>
      </c>
      <c r="E74" s="83" t="s">
        <v>12</v>
      </c>
      <c r="F74" s="83" t="s">
        <v>13</v>
      </c>
      <c r="G74" s="6">
        <v>7.0000000000000007E-2</v>
      </c>
      <c r="H74" s="88">
        <v>46182</v>
      </c>
      <c r="I74" s="32" t="b">
        <v>1</v>
      </c>
      <c r="J74" s="104" t="s">
        <v>343</v>
      </c>
      <c r="K74" s="103">
        <v>46153</v>
      </c>
      <c r="L74" s="103">
        <v>46160</v>
      </c>
      <c r="M74" s="103">
        <v>46174</v>
      </c>
      <c r="N74" s="103">
        <v>46179</v>
      </c>
    </row>
    <row r="75" spans="1:14" ht="21.4" x14ac:dyDescent="0.3">
      <c r="A75" s="34" t="s">
        <v>98</v>
      </c>
      <c r="B75" s="92" t="s">
        <v>10</v>
      </c>
      <c r="C75" s="83" t="s">
        <v>99</v>
      </c>
      <c r="D75" s="83" t="s">
        <v>11</v>
      </c>
      <c r="E75" s="83" t="s">
        <v>12</v>
      </c>
      <c r="F75" s="83" t="s">
        <v>13</v>
      </c>
      <c r="G75" s="6">
        <v>7.0000000000000007E-2</v>
      </c>
      <c r="H75" s="88">
        <v>46182</v>
      </c>
      <c r="I75" s="32" t="b">
        <v>1</v>
      </c>
      <c r="J75" s="104" t="s">
        <v>346</v>
      </c>
      <c r="K75" s="103">
        <v>46167</v>
      </c>
      <c r="L75" s="103">
        <v>46174</v>
      </c>
      <c r="M75" s="103">
        <v>46188</v>
      </c>
      <c r="N75" s="103">
        <v>46195</v>
      </c>
    </row>
    <row r="76" spans="1:14" ht="21.4" x14ac:dyDescent="0.3">
      <c r="A76" s="34" t="s">
        <v>100</v>
      </c>
      <c r="B76" s="91" t="s">
        <v>16</v>
      </c>
      <c r="C76" s="83" t="s">
        <v>101</v>
      </c>
      <c r="D76" s="83" t="s">
        <v>11</v>
      </c>
      <c r="E76" s="83" t="s">
        <v>12</v>
      </c>
      <c r="F76" s="83" t="s">
        <v>13</v>
      </c>
      <c r="G76" s="6">
        <v>7.1999999999999995E-2</v>
      </c>
      <c r="H76" s="88">
        <v>46182</v>
      </c>
      <c r="I76" s="32" t="b">
        <v>1</v>
      </c>
      <c r="J76" s="104" t="s">
        <v>343</v>
      </c>
      <c r="K76" s="103">
        <v>46153</v>
      </c>
      <c r="L76" s="103">
        <v>46160</v>
      </c>
      <c r="M76" s="103">
        <v>46174</v>
      </c>
      <c r="N76" s="103">
        <v>46179</v>
      </c>
    </row>
    <row r="77" spans="1:14" ht="21.4" x14ac:dyDescent="0.3">
      <c r="A77" s="34" t="s">
        <v>102</v>
      </c>
      <c r="B77" s="90" t="s">
        <v>103</v>
      </c>
      <c r="C77" s="83" t="s">
        <v>104</v>
      </c>
      <c r="D77" s="83" t="s">
        <v>11</v>
      </c>
      <c r="E77" s="83" t="s">
        <v>12</v>
      </c>
      <c r="F77" s="83" t="s">
        <v>13</v>
      </c>
      <c r="G77" s="6">
        <v>0.10199999999999999</v>
      </c>
      <c r="H77" s="88">
        <v>46177</v>
      </c>
      <c r="I77" s="32" t="b">
        <v>1</v>
      </c>
      <c r="J77" s="104" t="s">
        <v>335</v>
      </c>
      <c r="K77" s="103">
        <v>46190</v>
      </c>
      <c r="L77" s="103">
        <v>46197</v>
      </c>
      <c r="M77" s="103">
        <v>46211</v>
      </c>
      <c r="N77" s="103">
        <v>46217</v>
      </c>
    </row>
    <row r="78" spans="1:14" ht="21.4" x14ac:dyDescent="0.3">
      <c r="A78" s="34" t="s">
        <v>105</v>
      </c>
      <c r="B78" s="90" t="s">
        <v>103</v>
      </c>
      <c r="C78" s="83" t="s">
        <v>106</v>
      </c>
      <c r="D78" s="83" t="s">
        <v>11</v>
      </c>
      <c r="E78" s="83" t="s">
        <v>12</v>
      </c>
      <c r="F78" s="83" t="s">
        <v>13</v>
      </c>
      <c r="G78" s="6">
        <v>0.10299999999999999</v>
      </c>
      <c r="H78" s="88">
        <v>46177</v>
      </c>
      <c r="I78" s="32" t="b">
        <v>1</v>
      </c>
      <c r="J78" s="104" t="s">
        <v>335</v>
      </c>
      <c r="K78" s="103">
        <v>46190</v>
      </c>
      <c r="L78" s="103">
        <v>46197</v>
      </c>
      <c r="M78" s="103">
        <v>46211</v>
      </c>
      <c r="N78" s="103">
        <v>46217</v>
      </c>
    </row>
    <row r="79" spans="1:14" ht="21.4" x14ac:dyDescent="0.3">
      <c r="A79" s="34" t="s">
        <v>107</v>
      </c>
      <c r="B79" s="90" t="s">
        <v>103</v>
      </c>
      <c r="C79" s="83">
        <v>10172260</v>
      </c>
      <c r="D79" s="83" t="s">
        <v>11</v>
      </c>
      <c r="E79" s="83" t="s">
        <v>12</v>
      </c>
      <c r="F79" s="83" t="s">
        <v>13</v>
      </c>
      <c r="G79" s="6">
        <v>0.10299999999999999</v>
      </c>
      <c r="H79" s="88">
        <v>46171</v>
      </c>
      <c r="I79" s="32" t="b">
        <v>1</v>
      </c>
      <c r="J79" s="104" t="s">
        <v>335</v>
      </c>
      <c r="K79" s="103">
        <v>46190</v>
      </c>
      <c r="L79" s="103">
        <v>46197</v>
      </c>
      <c r="M79" s="103">
        <v>46211</v>
      </c>
      <c r="N79" s="103">
        <v>46217</v>
      </c>
    </row>
    <row r="80" spans="1:14" ht="21.4" x14ac:dyDescent="0.3">
      <c r="A80" s="34" t="s">
        <v>108</v>
      </c>
      <c r="B80" s="90" t="s">
        <v>103</v>
      </c>
      <c r="C80" s="83" t="s">
        <v>109</v>
      </c>
      <c r="D80" s="83" t="s">
        <v>11</v>
      </c>
      <c r="E80" s="83" t="s">
        <v>12</v>
      </c>
      <c r="F80" s="83" t="s">
        <v>13</v>
      </c>
      <c r="G80" s="6">
        <v>9.7000000000000003E-2</v>
      </c>
      <c r="H80" s="88">
        <v>46177</v>
      </c>
      <c r="I80" s="32" t="b">
        <v>1</v>
      </c>
      <c r="J80" s="104" t="s">
        <v>335</v>
      </c>
      <c r="K80" s="103">
        <v>46190</v>
      </c>
      <c r="L80" s="103">
        <v>46197</v>
      </c>
      <c r="M80" s="103">
        <v>46211</v>
      </c>
      <c r="N80" s="103">
        <v>46217</v>
      </c>
    </row>
    <row r="81" spans="1:14" ht="21.4" x14ac:dyDescent="0.3">
      <c r="A81" s="34" t="s">
        <v>110</v>
      </c>
      <c r="B81" s="90" t="s">
        <v>103</v>
      </c>
      <c r="C81" s="83">
        <v>10172248</v>
      </c>
      <c r="D81" s="83" t="s">
        <v>11</v>
      </c>
      <c r="E81" s="83" t="s">
        <v>12</v>
      </c>
      <c r="F81" s="83" t="s">
        <v>13</v>
      </c>
      <c r="G81" s="6">
        <v>9.6000000000000002E-2</v>
      </c>
      <c r="H81" s="88">
        <v>46171</v>
      </c>
      <c r="I81" s="32" t="b">
        <v>1</v>
      </c>
      <c r="J81" s="104" t="s">
        <v>334</v>
      </c>
      <c r="K81" s="103">
        <v>46175</v>
      </c>
      <c r="L81" s="103">
        <v>46182</v>
      </c>
      <c r="M81" s="103">
        <v>46197</v>
      </c>
      <c r="N81" s="103">
        <v>46203</v>
      </c>
    </row>
    <row r="82" spans="1:14" ht="21.4" x14ac:dyDescent="0.3">
      <c r="A82" s="34" t="s">
        <v>111</v>
      </c>
      <c r="B82" s="90" t="s">
        <v>103</v>
      </c>
      <c r="C82" s="83">
        <v>10172263</v>
      </c>
      <c r="D82" s="83" t="s">
        <v>11</v>
      </c>
      <c r="E82" s="83" t="s">
        <v>12</v>
      </c>
      <c r="F82" s="83" t="s">
        <v>13</v>
      </c>
      <c r="G82" s="6">
        <v>0.10199999999999999</v>
      </c>
      <c r="H82" s="88">
        <v>46171</v>
      </c>
      <c r="I82" s="32" t="b">
        <v>1</v>
      </c>
      <c r="J82" s="104" t="s">
        <v>334</v>
      </c>
      <c r="K82" s="103">
        <v>46175</v>
      </c>
      <c r="L82" s="103">
        <v>46182</v>
      </c>
      <c r="M82" s="103">
        <v>46197</v>
      </c>
      <c r="N82" s="103">
        <v>46203</v>
      </c>
    </row>
    <row r="83" spans="1:14" ht="21.4" x14ac:dyDescent="0.3">
      <c r="A83" s="34" t="s">
        <v>112</v>
      </c>
      <c r="B83" s="90" t="s">
        <v>103</v>
      </c>
      <c r="C83" s="83">
        <v>10172257</v>
      </c>
      <c r="D83" s="83" t="s">
        <v>11</v>
      </c>
      <c r="E83" s="83" t="s">
        <v>12</v>
      </c>
      <c r="F83" s="83" t="s">
        <v>13</v>
      </c>
      <c r="G83" s="6">
        <v>0.10199999999999999</v>
      </c>
      <c r="H83" s="88">
        <v>46171</v>
      </c>
      <c r="I83" s="32" t="b">
        <v>1</v>
      </c>
      <c r="J83" s="104" t="s">
        <v>334</v>
      </c>
      <c r="K83" s="103">
        <v>46175</v>
      </c>
      <c r="L83" s="103">
        <v>46182</v>
      </c>
      <c r="M83" s="103">
        <v>46197</v>
      </c>
      <c r="N83" s="103">
        <v>46203</v>
      </c>
    </row>
    <row r="84" spans="1:14" ht="21.4" x14ac:dyDescent="0.3">
      <c r="A84" s="34" t="s">
        <v>113</v>
      </c>
      <c r="B84" s="90" t="s">
        <v>103</v>
      </c>
      <c r="C84" s="83">
        <v>10172256</v>
      </c>
      <c r="D84" s="83" t="s">
        <v>11</v>
      </c>
      <c r="E84" s="83" t="s">
        <v>12</v>
      </c>
      <c r="F84" s="83" t="s">
        <v>13</v>
      </c>
      <c r="G84" s="6">
        <v>0.10199999999999999</v>
      </c>
      <c r="H84" s="88">
        <v>46171</v>
      </c>
      <c r="I84" s="32" t="b">
        <v>1</v>
      </c>
      <c r="J84" s="104" t="s">
        <v>334</v>
      </c>
      <c r="K84" s="103">
        <v>46175</v>
      </c>
      <c r="L84" s="103">
        <v>46182</v>
      </c>
      <c r="M84" s="103">
        <v>46197</v>
      </c>
      <c r="N84" s="103">
        <v>46203</v>
      </c>
    </row>
    <row r="85" spans="1:14" ht="21.4" x14ac:dyDescent="0.3">
      <c r="A85" s="34" t="s">
        <v>114</v>
      </c>
      <c r="B85" s="90" t="s">
        <v>103</v>
      </c>
      <c r="C85" s="83">
        <v>10172262</v>
      </c>
      <c r="D85" s="83" t="s">
        <v>11</v>
      </c>
      <c r="E85" s="83" t="s">
        <v>12</v>
      </c>
      <c r="F85" s="83" t="s">
        <v>13</v>
      </c>
      <c r="G85" s="6">
        <v>0.10199999999999999</v>
      </c>
      <c r="H85" s="88">
        <v>46171</v>
      </c>
      <c r="I85" s="32" t="b">
        <v>1</v>
      </c>
      <c r="J85" s="104" t="s">
        <v>334</v>
      </c>
      <c r="K85" s="103">
        <v>46175</v>
      </c>
      <c r="L85" s="103">
        <v>46182</v>
      </c>
      <c r="M85" s="103">
        <v>46197</v>
      </c>
      <c r="N85" s="103">
        <v>46203</v>
      </c>
    </row>
    <row r="86" spans="1:14" ht="21.4" x14ac:dyDescent="0.3">
      <c r="A86" s="34" t="s">
        <v>115</v>
      </c>
      <c r="B86" s="90" t="s">
        <v>103</v>
      </c>
      <c r="C86" s="83">
        <v>10172253</v>
      </c>
      <c r="D86" s="83" t="s">
        <v>11</v>
      </c>
      <c r="E86" s="83" t="s">
        <v>12</v>
      </c>
      <c r="F86" s="83" t="s">
        <v>13</v>
      </c>
      <c r="G86" s="6">
        <v>0.10100000000000001</v>
      </c>
      <c r="H86" s="88">
        <v>46171</v>
      </c>
      <c r="I86" s="32" t="b">
        <v>1</v>
      </c>
      <c r="J86" s="104" t="s">
        <v>334</v>
      </c>
      <c r="K86" s="103">
        <v>46175</v>
      </c>
      <c r="L86" s="103">
        <v>46182</v>
      </c>
      <c r="M86" s="103">
        <v>46197</v>
      </c>
      <c r="N86" s="103">
        <v>46203</v>
      </c>
    </row>
    <row r="87" spans="1:14" ht="21.4" x14ac:dyDescent="0.3">
      <c r="A87" s="34" t="s">
        <v>116</v>
      </c>
      <c r="B87" s="90" t="s">
        <v>103</v>
      </c>
      <c r="C87" s="83" t="s">
        <v>117</v>
      </c>
      <c r="D87" s="83" t="s">
        <v>11</v>
      </c>
      <c r="E87" s="83" t="s">
        <v>12</v>
      </c>
      <c r="F87" s="83" t="s">
        <v>13</v>
      </c>
      <c r="G87" s="6">
        <v>8.7999999999999995E-2</v>
      </c>
      <c r="H87" s="88">
        <v>46177</v>
      </c>
      <c r="I87" s="32" t="b">
        <v>1</v>
      </c>
      <c r="J87" s="104" t="s">
        <v>334</v>
      </c>
      <c r="K87" s="103">
        <v>46175</v>
      </c>
      <c r="L87" s="103">
        <v>46182</v>
      </c>
      <c r="M87" s="103">
        <v>46197</v>
      </c>
      <c r="N87" s="103">
        <v>46203</v>
      </c>
    </row>
    <row r="88" spans="1:14" ht="21.4" x14ac:dyDescent="0.3">
      <c r="A88" s="34" t="s">
        <v>118</v>
      </c>
      <c r="B88" s="89" t="s">
        <v>119</v>
      </c>
      <c r="C88" s="83"/>
      <c r="D88" s="83" t="s">
        <v>11</v>
      </c>
      <c r="E88" s="83" t="s">
        <v>12</v>
      </c>
      <c r="F88" s="83" t="s">
        <v>13</v>
      </c>
      <c r="G88" s="6"/>
      <c r="H88" s="6"/>
      <c r="I88" s="32" t="b">
        <v>0</v>
      </c>
      <c r="J88" s="104" t="s">
        <v>333</v>
      </c>
      <c r="K88" s="103">
        <v>46155</v>
      </c>
      <c r="L88" s="103">
        <v>46162</v>
      </c>
      <c r="M88" s="103">
        <v>46176</v>
      </c>
      <c r="N88" s="103">
        <v>46182</v>
      </c>
    </row>
    <row r="89" spans="1:14" ht="21.4" x14ac:dyDescent="0.3">
      <c r="A89" s="34" t="s">
        <v>120</v>
      </c>
      <c r="B89" s="89" t="s">
        <v>119</v>
      </c>
      <c r="C89" s="83">
        <v>10172138</v>
      </c>
      <c r="D89" s="83" t="s">
        <v>11</v>
      </c>
      <c r="E89" s="83" t="s">
        <v>12</v>
      </c>
      <c r="F89" s="83" t="s">
        <v>13</v>
      </c>
      <c r="G89" s="6">
        <v>8.5000000000000006E-2</v>
      </c>
      <c r="H89" s="88">
        <v>46182</v>
      </c>
      <c r="I89" s="32" t="b">
        <v>1</v>
      </c>
      <c r="J89" s="104" t="s">
        <v>333</v>
      </c>
      <c r="K89" s="103">
        <v>46155</v>
      </c>
      <c r="L89" s="103">
        <v>46162</v>
      </c>
      <c r="M89" s="103">
        <v>46176</v>
      </c>
      <c r="N89" s="103">
        <v>46182</v>
      </c>
    </row>
    <row r="90" spans="1:14" ht="21.4" x14ac:dyDescent="0.3">
      <c r="A90" s="34" t="s">
        <v>121</v>
      </c>
      <c r="B90" s="89" t="s">
        <v>119</v>
      </c>
      <c r="C90" s="83">
        <v>10172265</v>
      </c>
      <c r="D90" s="83" t="s">
        <v>11</v>
      </c>
      <c r="E90" s="83" t="s">
        <v>12</v>
      </c>
      <c r="F90" s="83" t="s">
        <v>13</v>
      </c>
      <c r="G90" s="6">
        <v>0.10199999999999999</v>
      </c>
      <c r="H90" s="88">
        <v>46163</v>
      </c>
      <c r="I90" s="32" t="b">
        <v>1</v>
      </c>
      <c r="J90" s="104" t="s">
        <v>333</v>
      </c>
      <c r="K90" s="103">
        <v>46155</v>
      </c>
      <c r="L90" s="103">
        <v>46162</v>
      </c>
      <c r="M90" s="103">
        <v>46176</v>
      </c>
      <c r="N90" s="103">
        <v>46182</v>
      </c>
    </row>
    <row r="91" spans="1:14" ht="21.4" x14ac:dyDescent="0.3">
      <c r="A91" s="34" t="s">
        <v>122</v>
      </c>
      <c r="B91" s="89" t="s">
        <v>119</v>
      </c>
      <c r="C91" s="83" t="s">
        <v>123</v>
      </c>
      <c r="D91" s="83" t="s">
        <v>11</v>
      </c>
      <c r="E91" s="83" t="s">
        <v>12</v>
      </c>
      <c r="F91" s="83" t="s">
        <v>13</v>
      </c>
      <c r="G91" s="6">
        <v>9.7000000000000003E-2</v>
      </c>
      <c r="H91" s="88">
        <v>46163</v>
      </c>
      <c r="I91" s="32" t="b">
        <v>1</v>
      </c>
      <c r="J91" s="104" t="s">
        <v>333</v>
      </c>
      <c r="K91" s="103">
        <v>46155</v>
      </c>
      <c r="L91" s="103">
        <v>46162</v>
      </c>
      <c r="M91" s="103">
        <v>46176</v>
      </c>
      <c r="N91" s="103">
        <v>46182</v>
      </c>
    </row>
    <row r="92" spans="1:14" ht="21.4" x14ac:dyDescent="0.3">
      <c r="A92" s="34" t="s">
        <v>124</v>
      </c>
      <c r="B92" s="89" t="s">
        <v>119</v>
      </c>
      <c r="C92" s="83">
        <v>10172249</v>
      </c>
      <c r="D92" s="83" t="s">
        <v>11</v>
      </c>
      <c r="E92" s="83" t="s">
        <v>12</v>
      </c>
      <c r="F92" s="83" t="s">
        <v>13</v>
      </c>
      <c r="G92" s="6">
        <v>9.9000000000000005E-2</v>
      </c>
      <c r="H92" s="88">
        <v>46163</v>
      </c>
      <c r="I92" s="32" t="b">
        <v>1</v>
      </c>
      <c r="J92" s="104" t="s">
        <v>333</v>
      </c>
      <c r="K92" s="103">
        <v>46155</v>
      </c>
      <c r="L92" s="103">
        <v>46162</v>
      </c>
      <c r="M92" s="103">
        <v>46176</v>
      </c>
      <c r="N92" s="103">
        <v>46182</v>
      </c>
    </row>
    <row r="93" spans="1:14" ht="21.4" x14ac:dyDescent="0.3">
      <c r="A93" s="34" t="s">
        <v>125</v>
      </c>
      <c r="B93" s="89" t="s">
        <v>119</v>
      </c>
      <c r="C93" s="83">
        <v>10172255</v>
      </c>
      <c r="D93" s="83" t="s">
        <v>11</v>
      </c>
      <c r="E93" s="83" t="s">
        <v>12</v>
      </c>
      <c r="F93" s="83" t="s">
        <v>13</v>
      </c>
      <c r="G93" s="6">
        <v>0.10199999999999999</v>
      </c>
      <c r="H93" s="88">
        <v>46161</v>
      </c>
      <c r="I93" s="32" t="b">
        <v>1</v>
      </c>
      <c r="J93" s="104" t="s">
        <v>335</v>
      </c>
      <c r="K93" s="103">
        <v>46140</v>
      </c>
      <c r="L93" s="103">
        <v>46148</v>
      </c>
      <c r="M93" s="103">
        <v>46162</v>
      </c>
      <c r="N93" s="103">
        <v>46168</v>
      </c>
    </row>
    <row r="94" spans="1:14" ht="21.4" x14ac:dyDescent="0.3">
      <c r="A94" s="34" t="s">
        <v>126</v>
      </c>
      <c r="B94" s="87" t="s">
        <v>127</v>
      </c>
      <c r="C94" s="83" t="s">
        <v>128</v>
      </c>
      <c r="D94" s="83" t="s">
        <v>11</v>
      </c>
      <c r="E94" s="83" t="s">
        <v>12</v>
      </c>
      <c r="F94" s="83" t="s">
        <v>13</v>
      </c>
      <c r="G94" s="6">
        <v>9.5000000000000001E-2</v>
      </c>
      <c r="H94" s="88">
        <v>46168</v>
      </c>
      <c r="I94" s="32" t="b">
        <v>1</v>
      </c>
      <c r="J94" s="104" t="s">
        <v>332</v>
      </c>
      <c r="K94" s="103">
        <v>46134</v>
      </c>
      <c r="L94" s="103">
        <v>46142</v>
      </c>
      <c r="M94" s="103">
        <v>46157</v>
      </c>
      <c r="N94" s="103">
        <v>46163</v>
      </c>
    </row>
    <row r="95" spans="1:14" ht="21.4" x14ac:dyDescent="0.3">
      <c r="A95" s="34" t="s">
        <v>129</v>
      </c>
      <c r="B95" s="89" t="s">
        <v>119</v>
      </c>
      <c r="C95" s="83">
        <v>10172140</v>
      </c>
      <c r="D95" s="83" t="s">
        <v>11</v>
      </c>
      <c r="E95" s="83" t="s">
        <v>12</v>
      </c>
      <c r="F95" s="83" t="s">
        <v>13</v>
      </c>
      <c r="G95" s="6">
        <v>8.5999999999999993E-2</v>
      </c>
      <c r="H95" s="88">
        <v>46161</v>
      </c>
      <c r="I95" s="32" t="b">
        <v>1</v>
      </c>
      <c r="J95" s="104" t="s">
        <v>335</v>
      </c>
      <c r="K95" s="103">
        <v>46140</v>
      </c>
      <c r="L95" s="103">
        <v>46148</v>
      </c>
      <c r="M95" s="103">
        <v>46162</v>
      </c>
      <c r="N95" s="103">
        <v>46168</v>
      </c>
    </row>
    <row r="96" spans="1:14" ht="21.4" x14ac:dyDescent="0.3">
      <c r="A96" s="34" t="s">
        <v>130</v>
      </c>
      <c r="B96" s="87" t="s">
        <v>127</v>
      </c>
      <c r="C96" s="83" t="s">
        <v>131</v>
      </c>
      <c r="D96" s="83" t="s">
        <v>11</v>
      </c>
      <c r="E96" s="83" t="s">
        <v>12</v>
      </c>
      <c r="F96" s="83" t="s">
        <v>13</v>
      </c>
      <c r="G96" s="6">
        <v>0.104</v>
      </c>
      <c r="H96" s="88">
        <v>46168</v>
      </c>
      <c r="I96" s="32" t="b">
        <v>1</v>
      </c>
      <c r="J96" s="104" t="s">
        <v>332</v>
      </c>
      <c r="K96" s="103">
        <v>46134</v>
      </c>
      <c r="L96" s="103">
        <v>46142</v>
      </c>
      <c r="M96" s="103">
        <v>46157</v>
      </c>
      <c r="N96" s="103">
        <v>46163</v>
      </c>
    </row>
    <row r="97" spans="1:14" ht="21.4" x14ac:dyDescent="0.3">
      <c r="A97" s="34" t="s">
        <v>132</v>
      </c>
      <c r="B97" s="89" t="s">
        <v>119</v>
      </c>
      <c r="C97" s="83">
        <v>10172132</v>
      </c>
      <c r="D97" s="83" t="s">
        <v>11</v>
      </c>
      <c r="E97" s="83" t="s">
        <v>12</v>
      </c>
      <c r="F97" s="83" t="s">
        <v>13</v>
      </c>
      <c r="G97" s="6">
        <v>8.5999999999999993E-2</v>
      </c>
      <c r="H97" s="88">
        <v>46161</v>
      </c>
      <c r="I97" s="32" t="b">
        <v>1</v>
      </c>
      <c r="J97" s="104" t="s">
        <v>335</v>
      </c>
      <c r="K97" s="103">
        <v>46140</v>
      </c>
      <c r="L97" s="103">
        <v>46148</v>
      </c>
      <c r="M97" s="103">
        <v>46162</v>
      </c>
      <c r="N97" s="103">
        <v>46168</v>
      </c>
    </row>
    <row r="98" spans="1:14" ht="21.4" x14ac:dyDescent="0.3">
      <c r="A98" s="34" t="s">
        <v>133</v>
      </c>
      <c r="B98" s="87" t="s">
        <v>127</v>
      </c>
      <c r="C98" s="83" t="s">
        <v>134</v>
      </c>
      <c r="D98" s="83" t="s">
        <v>11</v>
      </c>
      <c r="E98" s="83" t="s">
        <v>12</v>
      </c>
      <c r="F98" s="83" t="s">
        <v>13</v>
      </c>
      <c r="G98" s="6">
        <v>9.9000000000000005E-2</v>
      </c>
      <c r="H98" s="88">
        <v>46168</v>
      </c>
      <c r="I98" s="32" t="b">
        <v>1</v>
      </c>
      <c r="J98" s="104" t="s">
        <v>332</v>
      </c>
      <c r="K98" s="103">
        <v>46134</v>
      </c>
      <c r="L98" s="103">
        <v>46142</v>
      </c>
      <c r="M98" s="103">
        <v>46157</v>
      </c>
      <c r="N98" s="103">
        <v>46163</v>
      </c>
    </row>
    <row r="99" spans="1:14" ht="21.4" x14ac:dyDescent="0.3">
      <c r="A99" s="34" t="s">
        <v>135</v>
      </c>
      <c r="B99" s="89" t="s">
        <v>119</v>
      </c>
      <c r="C99" s="83">
        <v>10172259</v>
      </c>
      <c r="D99" s="83" t="s">
        <v>11</v>
      </c>
      <c r="E99" s="83" t="s">
        <v>12</v>
      </c>
      <c r="F99" s="83" t="s">
        <v>13</v>
      </c>
      <c r="G99" s="6">
        <v>0.10199999999999999</v>
      </c>
      <c r="H99" s="88">
        <v>46161</v>
      </c>
      <c r="I99" s="32" t="b">
        <v>1</v>
      </c>
      <c r="J99" s="104" t="s">
        <v>335</v>
      </c>
      <c r="K99" s="103">
        <v>46140</v>
      </c>
      <c r="L99" s="103">
        <v>46148</v>
      </c>
      <c r="M99" s="103">
        <v>46162</v>
      </c>
      <c r="N99" s="103">
        <v>46168</v>
      </c>
    </row>
    <row r="100" spans="1:14" ht="21.4" x14ac:dyDescent="0.3">
      <c r="A100" s="34" t="s">
        <v>136</v>
      </c>
      <c r="B100" s="87" t="s">
        <v>127</v>
      </c>
      <c r="C100" s="83" t="s">
        <v>137</v>
      </c>
      <c r="D100" s="83" t="s">
        <v>11</v>
      </c>
      <c r="E100" s="83" t="s">
        <v>12</v>
      </c>
      <c r="F100" s="83" t="s">
        <v>13</v>
      </c>
      <c r="G100" s="6">
        <v>0.10100000000000001</v>
      </c>
      <c r="H100" s="88">
        <v>46168</v>
      </c>
      <c r="I100" s="32" t="b">
        <v>1</v>
      </c>
      <c r="J100" s="104" t="s">
        <v>332</v>
      </c>
      <c r="K100" s="103">
        <v>46134</v>
      </c>
      <c r="L100" s="103">
        <v>46142</v>
      </c>
      <c r="M100" s="103">
        <v>46157</v>
      </c>
      <c r="N100" s="103">
        <v>46163</v>
      </c>
    </row>
    <row r="101" spans="1:14" ht="21.4" x14ac:dyDescent="0.3">
      <c r="A101" s="34" t="s">
        <v>138</v>
      </c>
      <c r="B101" s="89" t="s">
        <v>119</v>
      </c>
      <c r="C101" s="83">
        <v>10172254</v>
      </c>
      <c r="D101" s="83" t="s">
        <v>11</v>
      </c>
      <c r="E101" s="83" t="s">
        <v>12</v>
      </c>
      <c r="F101" s="83" t="s">
        <v>13</v>
      </c>
      <c r="G101" s="6">
        <v>0.10199999999999999</v>
      </c>
      <c r="H101" s="88">
        <v>46161</v>
      </c>
      <c r="I101" s="32" t="b">
        <v>1</v>
      </c>
      <c r="J101" s="104" t="s">
        <v>335</v>
      </c>
      <c r="K101" s="103">
        <v>46140</v>
      </c>
      <c r="L101" s="103">
        <v>46148</v>
      </c>
      <c r="M101" s="103">
        <v>46162</v>
      </c>
      <c r="N101" s="103">
        <v>46168</v>
      </c>
    </row>
    <row r="102" spans="1:14" ht="21.4" x14ac:dyDescent="0.3">
      <c r="A102" s="34" t="s">
        <v>139</v>
      </c>
      <c r="B102" s="87" t="s">
        <v>127</v>
      </c>
      <c r="C102" s="83" t="s">
        <v>140</v>
      </c>
      <c r="D102" s="83" t="s">
        <v>11</v>
      </c>
      <c r="E102" s="83" t="s">
        <v>12</v>
      </c>
      <c r="F102" s="83" t="s">
        <v>13</v>
      </c>
      <c r="G102" s="6">
        <v>9.0999999999999998E-2</v>
      </c>
      <c r="H102" s="88">
        <v>46168</v>
      </c>
      <c r="I102" s="32" t="b">
        <v>1</v>
      </c>
      <c r="J102" s="104" t="s">
        <v>332</v>
      </c>
      <c r="K102" s="103">
        <v>46134</v>
      </c>
      <c r="L102" s="103">
        <v>46142</v>
      </c>
      <c r="M102" s="103">
        <v>46157</v>
      </c>
      <c r="N102" s="103">
        <v>46163</v>
      </c>
    </row>
    <row r="103" spans="1:14" ht="21.4" x14ac:dyDescent="0.3">
      <c r="A103" s="34" t="s">
        <v>141</v>
      </c>
      <c r="B103" s="89" t="s">
        <v>119</v>
      </c>
      <c r="C103" s="83">
        <v>10172264</v>
      </c>
      <c r="D103" s="83" t="s">
        <v>11</v>
      </c>
      <c r="E103" s="83" t="s">
        <v>12</v>
      </c>
      <c r="F103" s="83" t="s">
        <v>13</v>
      </c>
      <c r="G103" s="6">
        <v>0.105</v>
      </c>
      <c r="H103" s="88">
        <v>46161</v>
      </c>
      <c r="I103" s="32" t="b">
        <v>1</v>
      </c>
      <c r="J103" s="104" t="s">
        <v>335</v>
      </c>
      <c r="K103" s="103">
        <v>46140</v>
      </c>
      <c r="L103" s="103">
        <v>46148</v>
      </c>
      <c r="M103" s="103">
        <v>46162</v>
      </c>
      <c r="N103" s="103">
        <v>46168</v>
      </c>
    </row>
    <row r="104" spans="1:14" ht="21.4" x14ac:dyDescent="0.3">
      <c r="A104" s="34" t="s">
        <v>142</v>
      </c>
      <c r="B104" s="87" t="s">
        <v>127</v>
      </c>
      <c r="C104" s="83" t="s">
        <v>143</v>
      </c>
      <c r="D104" s="83" t="s">
        <v>11</v>
      </c>
      <c r="E104" s="83" t="s">
        <v>12</v>
      </c>
      <c r="F104" s="83" t="s">
        <v>13</v>
      </c>
      <c r="G104" s="6">
        <v>7.2999999999999995E-2</v>
      </c>
      <c r="H104" s="88">
        <v>46168</v>
      </c>
      <c r="I104" s="32" t="b">
        <v>1</v>
      </c>
      <c r="J104" s="104" t="s">
        <v>332</v>
      </c>
      <c r="K104" s="103">
        <v>46134</v>
      </c>
      <c r="L104" s="103">
        <v>46142</v>
      </c>
      <c r="M104" s="103">
        <v>46157</v>
      </c>
      <c r="N104" s="103">
        <v>46163</v>
      </c>
    </row>
    <row r="105" spans="1:14" ht="21.4" x14ac:dyDescent="0.3">
      <c r="A105" s="34" t="s">
        <v>144</v>
      </c>
      <c r="B105" s="91" t="s">
        <v>16</v>
      </c>
      <c r="C105" s="83"/>
      <c r="D105" s="83" t="s">
        <v>11</v>
      </c>
      <c r="E105" s="83" t="s">
        <v>12</v>
      </c>
      <c r="F105" s="83" t="s">
        <v>13</v>
      </c>
      <c r="G105" s="6"/>
      <c r="H105" s="6"/>
      <c r="I105" s="32" t="b">
        <v>0</v>
      </c>
      <c r="J105" s="104" t="s">
        <v>355</v>
      </c>
      <c r="K105" s="103">
        <v>46213</v>
      </c>
      <c r="L105" s="103">
        <v>46220</v>
      </c>
      <c r="M105" s="103">
        <v>46234</v>
      </c>
      <c r="N105" s="103">
        <v>46240</v>
      </c>
    </row>
    <row r="106" spans="1:14" ht="21.4" x14ac:dyDescent="0.3">
      <c r="A106" s="34" t="s">
        <v>145</v>
      </c>
      <c r="B106" s="87" t="s">
        <v>127</v>
      </c>
      <c r="C106" s="83" t="s">
        <v>146</v>
      </c>
      <c r="D106" s="83" t="s">
        <v>11</v>
      </c>
      <c r="E106" s="83" t="s">
        <v>12</v>
      </c>
      <c r="F106" s="83" t="s">
        <v>13</v>
      </c>
      <c r="G106" s="6">
        <v>9.2999999999999999E-2</v>
      </c>
      <c r="H106" s="88">
        <v>46168</v>
      </c>
      <c r="I106" s="32" t="b">
        <v>1</v>
      </c>
      <c r="J106" s="104" t="s">
        <v>332</v>
      </c>
      <c r="K106" s="103">
        <v>46134</v>
      </c>
      <c r="L106" s="103">
        <v>46142</v>
      </c>
      <c r="M106" s="103">
        <v>46157</v>
      </c>
      <c r="N106" s="103">
        <v>46163</v>
      </c>
    </row>
    <row r="107" spans="1:14" ht="21.4" x14ac:dyDescent="0.3">
      <c r="A107" s="34" t="s">
        <v>147</v>
      </c>
      <c r="B107" s="91" t="s">
        <v>16</v>
      </c>
      <c r="C107" s="83"/>
      <c r="D107" s="83" t="s">
        <v>11</v>
      </c>
      <c r="E107" s="83" t="s">
        <v>12</v>
      </c>
      <c r="F107" s="83" t="s">
        <v>13</v>
      </c>
      <c r="G107" s="6"/>
      <c r="H107" s="6"/>
      <c r="I107" s="32" t="b">
        <v>0</v>
      </c>
      <c r="J107" s="104" t="s">
        <v>355</v>
      </c>
      <c r="K107" s="103">
        <v>46213</v>
      </c>
      <c r="L107" s="103">
        <v>46220</v>
      </c>
      <c r="M107" s="103">
        <v>46234</v>
      </c>
      <c r="N107" s="103">
        <v>46240</v>
      </c>
    </row>
    <row r="108" spans="1:14" ht="21.4" x14ac:dyDescent="0.3">
      <c r="A108" s="34" t="s">
        <v>148</v>
      </c>
      <c r="B108" s="87" t="s">
        <v>127</v>
      </c>
      <c r="C108" s="83" t="s">
        <v>149</v>
      </c>
      <c r="D108" s="83" t="s">
        <v>11</v>
      </c>
      <c r="E108" s="83" t="s">
        <v>12</v>
      </c>
      <c r="F108" s="83" t="s">
        <v>13</v>
      </c>
      <c r="G108" s="6">
        <v>8.1000000000000003E-2</v>
      </c>
      <c r="H108" s="88">
        <v>46168</v>
      </c>
      <c r="I108" s="32" t="b">
        <v>1</v>
      </c>
      <c r="J108" s="104" t="s">
        <v>332</v>
      </c>
      <c r="K108" s="103">
        <v>46134</v>
      </c>
      <c r="L108" s="103">
        <v>46142</v>
      </c>
      <c r="M108" s="103">
        <v>46157</v>
      </c>
      <c r="N108" s="103">
        <v>46163</v>
      </c>
    </row>
    <row r="109" spans="1:14" ht="21.4" x14ac:dyDescent="0.3">
      <c r="A109" s="34" t="s">
        <v>150</v>
      </c>
      <c r="B109" s="91" t="s">
        <v>16</v>
      </c>
      <c r="C109" s="83"/>
      <c r="D109" s="83" t="s">
        <v>11</v>
      </c>
      <c r="E109" s="83" t="s">
        <v>12</v>
      </c>
      <c r="F109" s="83" t="s">
        <v>13</v>
      </c>
      <c r="G109" s="6"/>
      <c r="H109" s="6"/>
      <c r="I109" s="32" t="b">
        <v>0</v>
      </c>
      <c r="J109" s="104" t="s">
        <v>355</v>
      </c>
      <c r="K109" s="103">
        <v>46213</v>
      </c>
      <c r="L109" s="103">
        <v>46220</v>
      </c>
      <c r="M109" s="103">
        <v>46234</v>
      </c>
      <c r="N109" s="103">
        <v>46240</v>
      </c>
    </row>
    <row r="110" spans="1:14" ht="21.4" x14ac:dyDescent="0.3">
      <c r="A110" s="34" t="s">
        <v>151</v>
      </c>
      <c r="B110" s="87" t="s">
        <v>127</v>
      </c>
      <c r="C110" s="83" t="s">
        <v>152</v>
      </c>
      <c r="D110" s="83" t="s">
        <v>11</v>
      </c>
      <c r="E110" s="83" t="s">
        <v>12</v>
      </c>
      <c r="F110" s="83" t="s">
        <v>13</v>
      </c>
      <c r="G110" s="6">
        <v>7.0999999999999994E-2</v>
      </c>
      <c r="H110" s="88">
        <v>46142</v>
      </c>
      <c r="I110" s="32" t="b">
        <v>1</v>
      </c>
      <c r="J110" s="104" t="s">
        <v>332</v>
      </c>
      <c r="K110" s="103">
        <v>46134</v>
      </c>
      <c r="L110" s="103">
        <v>46142</v>
      </c>
      <c r="M110" s="103">
        <v>46157</v>
      </c>
      <c r="N110" s="103">
        <v>46163</v>
      </c>
    </row>
    <row r="111" spans="1:14" ht="21.4" x14ac:dyDescent="0.3">
      <c r="A111" s="34" t="s">
        <v>153</v>
      </c>
      <c r="B111" s="91" t="s">
        <v>16</v>
      </c>
      <c r="C111" s="83"/>
      <c r="D111" s="83" t="s">
        <v>11</v>
      </c>
      <c r="E111" s="83" t="s">
        <v>12</v>
      </c>
      <c r="F111" s="83" t="s">
        <v>13</v>
      </c>
      <c r="G111" s="6"/>
      <c r="H111" s="6"/>
      <c r="I111" s="32" t="b">
        <v>0</v>
      </c>
      <c r="J111" s="104" t="s">
        <v>355</v>
      </c>
      <c r="K111" s="103">
        <v>46213</v>
      </c>
      <c r="L111" s="103">
        <v>46220</v>
      </c>
      <c r="M111" s="103">
        <v>46234</v>
      </c>
      <c r="N111" s="103">
        <v>46240</v>
      </c>
    </row>
    <row r="112" spans="1:14" ht="21.4" x14ac:dyDescent="0.3">
      <c r="A112" s="34" t="s">
        <v>154</v>
      </c>
      <c r="B112" s="87" t="s">
        <v>127</v>
      </c>
      <c r="C112" s="83" t="s">
        <v>155</v>
      </c>
      <c r="D112" s="83" t="s">
        <v>11</v>
      </c>
      <c r="E112" s="83" t="s">
        <v>12</v>
      </c>
      <c r="F112" s="83" t="s">
        <v>13</v>
      </c>
      <c r="G112" s="6">
        <v>6.8000000000000005E-2</v>
      </c>
      <c r="H112" s="88">
        <v>46142</v>
      </c>
      <c r="I112" s="32" t="b">
        <v>1</v>
      </c>
      <c r="J112" s="104" t="s">
        <v>332</v>
      </c>
      <c r="K112" s="103">
        <v>46134</v>
      </c>
      <c r="L112" s="103">
        <v>46142</v>
      </c>
      <c r="M112" s="103">
        <v>46157</v>
      </c>
      <c r="N112" s="103">
        <v>46163</v>
      </c>
    </row>
    <row r="113" spans="1:14" ht="21.4" x14ac:dyDescent="0.3">
      <c r="A113" s="34" t="s">
        <v>156</v>
      </c>
      <c r="B113" s="91" t="s">
        <v>16</v>
      </c>
      <c r="C113" s="83"/>
      <c r="D113" s="83" t="s">
        <v>11</v>
      </c>
      <c r="E113" s="83" t="s">
        <v>12</v>
      </c>
      <c r="F113" s="83" t="s">
        <v>13</v>
      </c>
      <c r="G113" s="6"/>
      <c r="H113" s="6"/>
      <c r="I113" s="32" t="b">
        <v>0</v>
      </c>
      <c r="J113" s="104" t="s">
        <v>355</v>
      </c>
      <c r="K113" s="103">
        <v>46213</v>
      </c>
      <c r="L113" s="103">
        <v>46220</v>
      </c>
      <c r="M113" s="103">
        <v>46234</v>
      </c>
      <c r="N113" s="103">
        <v>46240</v>
      </c>
    </row>
    <row r="114" spans="1:14" ht="21.4" x14ac:dyDescent="0.3">
      <c r="A114" s="34" t="s">
        <v>157</v>
      </c>
      <c r="B114" s="87" t="s">
        <v>127</v>
      </c>
      <c r="C114" s="83" t="s">
        <v>158</v>
      </c>
      <c r="D114" s="83" t="s">
        <v>11</v>
      </c>
      <c r="E114" s="83" t="s">
        <v>12</v>
      </c>
      <c r="F114" s="83" t="s">
        <v>13</v>
      </c>
      <c r="G114" s="6">
        <v>9.0999999999999998E-2</v>
      </c>
      <c r="H114" s="88">
        <v>46142</v>
      </c>
      <c r="I114" s="32" t="b">
        <v>1</v>
      </c>
      <c r="J114" s="104" t="s">
        <v>331</v>
      </c>
      <c r="K114" s="103">
        <v>46125</v>
      </c>
      <c r="L114" s="103">
        <v>46132</v>
      </c>
      <c r="M114" s="103">
        <v>46148</v>
      </c>
      <c r="N114" s="103">
        <v>46154</v>
      </c>
    </row>
    <row r="115" spans="1:14" ht="21.4" x14ac:dyDescent="0.3">
      <c r="A115" s="34" t="s">
        <v>159</v>
      </c>
      <c r="B115" s="91" t="s">
        <v>16</v>
      </c>
      <c r="C115" s="83"/>
      <c r="D115" s="83" t="s">
        <v>11</v>
      </c>
      <c r="E115" s="83" t="s">
        <v>12</v>
      </c>
      <c r="F115" s="83" t="s">
        <v>13</v>
      </c>
      <c r="G115" s="6"/>
      <c r="H115" s="6"/>
      <c r="I115" s="32" t="b">
        <v>0</v>
      </c>
      <c r="J115" s="104" t="s">
        <v>355</v>
      </c>
      <c r="K115" s="103">
        <v>46213</v>
      </c>
      <c r="L115" s="103">
        <v>46220</v>
      </c>
      <c r="M115" s="103">
        <v>46234</v>
      </c>
      <c r="N115" s="103">
        <v>46240</v>
      </c>
    </row>
    <row r="116" spans="1:14" ht="21.4" x14ac:dyDescent="0.3">
      <c r="A116" s="34" t="s">
        <v>160</v>
      </c>
      <c r="B116" s="87" t="s">
        <v>127</v>
      </c>
      <c r="C116" s="83" t="s">
        <v>161</v>
      </c>
      <c r="D116" s="83" t="s">
        <v>11</v>
      </c>
      <c r="E116" s="83" t="s">
        <v>12</v>
      </c>
      <c r="F116" s="83" t="s">
        <v>13</v>
      </c>
      <c r="G116" s="6">
        <v>9.2999999999999999E-2</v>
      </c>
      <c r="H116" s="88">
        <v>46142</v>
      </c>
      <c r="I116" s="32" t="b">
        <v>1</v>
      </c>
      <c r="J116" s="104" t="s">
        <v>331</v>
      </c>
      <c r="K116" s="103">
        <v>46125</v>
      </c>
      <c r="L116" s="103">
        <v>46132</v>
      </c>
      <c r="M116" s="103">
        <v>46148</v>
      </c>
      <c r="N116" s="103">
        <v>46154</v>
      </c>
    </row>
    <row r="117" spans="1:14" ht="21.4" x14ac:dyDescent="0.3">
      <c r="A117" s="34" t="s">
        <v>162</v>
      </c>
      <c r="B117" s="91" t="s">
        <v>16</v>
      </c>
      <c r="C117" s="83"/>
      <c r="D117" s="83" t="s">
        <v>11</v>
      </c>
      <c r="E117" s="83" t="s">
        <v>12</v>
      </c>
      <c r="F117" s="83" t="s">
        <v>13</v>
      </c>
      <c r="G117" s="6"/>
      <c r="H117" s="6"/>
      <c r="I117" s="32" t="b">
        <v>0</v>
      </c>
      <c r="J117" s="104" t="s">
        <v>355</v>
      </c>
      <c r="K117" s="103">
        <v>46213</v>
      </c>
      <c r="L117" s="103">
        <v>46220</v>
      </c>
      <c r="M117" s="103">
        <v>46234</v>
      </c>
      <c r="N117" s="103">
        <v>46240</v>
      </c>
    </row>
    <row r="118" spans="1:14" ht="21.4" x14ac:dyDescent="0.3">
      <c r="A118" s="34" t="s">
        <v>163</v>
      </c>
      <c r="B118" s="87" t="s">
        <v>127</v>
      </c>
      <c r="C118" s="83" t="s">
        <v>164</v>
      </c>
      <c r="D118" s="83" t="s">
        <v>11</v>
      </c>
      <c r="E118" s="83" t="s">
        <v>12</v>
      </c>
      <c r="F118" s="83" t="s">
        <v>13</v>
      </c>
      <c r="G118" s="6">
        <v>8.2000000000000003E-2</v>
      </c>
      <c r="H118" s="88">
        <v>46136</v>
      </c>
      <c r="I118" s="32" t="b">
        <v>1</v>
      </c>
      <c r="J118" s="104" t="s">
        <v>331</v>
      </c>
      <c r="K118" s="103">
        <v>46125</v>
      </c>
      <c r="L118" s="103">
        <v>46132</v>
      </c>
      <c r="M118" s="103">
        <v>46148</v>
      </c>
      <c r="N118" s="103">
        <v>46154</v>
      </c>
    </row>
    <row r="119" spans="1:14" ht="21.4" x14ac:dyDescent="0.3">
      <c r="A119" s="34" t="s">
        <v>165</v>
      </c>
      <c r="B119" s="91" t="s">
        <v>16</v>
      </c>
      <c r="C119" s="83"/>
      <c r="D119" s="83" t="s">
        <v>11</v>
      </c>
      <c r="E119" s="83" t="s">
        <v>12</v>
      </c>
      <c r="F119" s="83" t="s">
        <v>13</v>
      </c>
      <c r="G119" s="6"/>
      <c r="H119" s="6"/>
      <c r="I119" s="32" t="b">
        <v>0</v>
      </c>
      <c r="J119" s="104" t="s">
        <v>355</v>
      </c>
      <c r="K119" s="103">
        <v>46213</v>
      </c>
      <c r="L119" s="103">
        <v>46220</v>
      </c>
      <c r="M119" s="103">
        <v>46234</v>
      </c>
      <c r="N119" s="103">
        <v>46240</v>
      </c>
    </row>
    <row r="120" spans="1:14" ht="21.4" x14ac:dyDescent="0.3">
      <c r="A120" s="34" t="s">
        <v>166</v>
      </c>
      <c r="B120" s="87" t="s">
        <v>127</v>
      </c>
      <c r="C120" s="83" t="s">
        <v>167</v>
      </c>
      <c r="D120" s="83" t="s">
        <v>11</v>
      </c>
      <c r="E120" s="83" t="s">
        <v>12</v>
      </c>
      <c r="F120" s="83" t="s">
        <v>13</v>
      </c>
      <c r="G120" s="6">
        <v>0.223</v>
      </c>
      <c r="H120" s="88">
        <v>46136</v>
      </c>
      <c r="I120" s="32" t="b">
        <v>1</v>
      </c>
      <c r="J120" s="104" t="s">
        <v>331</v>
      </c>
      <c r="K120" s="103">
        <v>46125</v>
      </c>
      <c r="L120" s="103">
        <v>46132</v>
      </c>
      <c r="M120" s="103">
        <v>46148</v>
      </c>
      <c r="N120" s="103">
        <v>46154</v>
      </c>
    </row>
    <row r="121" spans="1:14" ht="21.4" x14ac:dyDescent="0.3">
      <c r="A121" s="34" t="s">
        <v>168</v>
      </c>
      <c r="B121" s="91" t="s">
        <v>16</v>
      </c>
      <c r="C121" s="83"/>
      <c r="D121" s="83" t="s">
        <v>11</v>
      </c>
      <c r="E121" s="83" t="s">
        <v>12</v>
      </c>
      <c r="F121" s="83" t="s">
        <v>13</v>
      </c>
      <c r="G121" s="6"/>
      <c r="H121" s="6"/>
      <c r="I121" s="32" t="b">
        <v>0</v>
      </c>
      <c r="J121" s="104" t="s">
        <v>356</v>
      </c>
      <c r="K121" s="103">
        <v>46227</v>
      </c>
      <c r="L121" s="103">
        <v>46234</v>
      </c>
      <c r="M121" s="103">
        <v>46249</v>
      </c>
      <c r="N121" s="103">
        <v>46255</v>
      </c>
    </row>
    <row r="122" spans="1:14" ht="21.4" x14ac:dyDescent="0.3">
      <c r="A122" s="34" t="s">
        <v>169</v>
      </c>
      <c r="B122" s="87" t="s">
        <v>127</v>
      </c>
      <c r="C122" s="83" t="s">
        <v>170</v>
      </c>
      <c r="D122" s="83" t="s">
        <v>11</v>
      </c>
      <c r="E122" s="83" t="s">
        <v>12</v>
      </c>
      <c r="F122" s="83" t="s">
        <v>13</v>
      </c>
      <c r="G122" s="6">
        <v>0.08</v>
      </c>
      <c r="H122" s="88">
        <v>46136</v>
      </c>
      <c r="I122" s="32" t="b">
        <v>1</v>
      </c>
      <c r="J122" s="104" t="s">
        <v>331</v>
      </c>
      <c r="K122" s="103">
        <v>46125</v>
      </c>
      <c r="L122" s="103">
        <v>46132</v>
      </c>
      <c r="M122" s="103">
        <v>46148</v>
      </c>
      <c r="N122" s="103">
        <v>46154</v>
      </c>
    </row>
    <row r="123" spans="1:14" ht="21.4" x14ac:dyDescent="0.3">
      <c r="A123" s="34" t="s">
        <v>171</v>
      </c>
      <c r="B123" s="91" t="s">
        <v>16</v>
      </c>
      <c r="C123" s="83"/>
      <c r="D123" s="83" t="s">
        <v>11</v>
      </c>
      <c r="E123" s="83" t="s">
        <v>12</v>
      </c>
      <c r="F123" s="83" t="s">
        <v>13</v>
      </c>
      <c r="G123" s="6"/>
      <c r="H123" s="6"/>
      <c r="I123" s="32" t="b">
        <v>0</v>
      </c>
      <c r="J123" s="104" t="s">
        <v>356</v>
      </c>
      <c r="K123" s="103">
        <v>46227</v>
      </c>
      <c r="L123" s="103">
        <v>46234</v>
      </c>
      <c r="M123" s="103">
        <v>46249</v>
      </c>
      <c r="N123" s="103">
        <v>46255</v>
      </c>
    </row>
    <row r="124" spans="1:14" ht="21.4" x14ac:dyDescent="0.3">
      <c r="A124" s="34" t="s">
        <v>172</v>
      </c>
      <c r="B124" s="87" t="s">
        <v>127</v>
      </c>
      <c r="C124" s="83" t="s">
        <v>173</v>
      </c>
      <c r="D124" s="83" t="s">
        <v>11</v>
      </c>
      <c r="E124" s="83" t="s">
        <v>12</v>
      </c>
      <c r="F124" s="83" t="s">
        <v>13</v>
      </c>
      <c r="G124" s="6">
        <v>7.0999999999999994E-2</v>
      </c>
      <c r="H124" s="88">
        <v>46168</v>
      </c>
      <c r="I124" s="32" t="b">
        <v>1</v>
      </c>
      <c r="J124" s="104" t="s">
        <v>331</v>
      </c>
      <c r="K124" s="103">
        <v>46125</v>
      </c>
      <c r="L124" s="103">
        <v>46132</v>
      </c>
      <c r="M124" s="103">
        <v>46148</v>
      </c>
      <c r="N124" s="103">
        <v>46154</v>
      </c>
    </row>
    <row r="125" spans="1:14" ht="21.4" x14ac:dyDescent="0.3">
      <c r="A125" s="34" t="s">
        <v>174</v>
      </c>
      <c r="B125" s="91" t="s">
        <v>16</v>
      </c>
      <c r="C125" s="83"/>
      <c r="D125" s="83" t="s">
        <v>11</v>
      </c>
      <c r="E125" s="83" t="s">
        <v>12</v>
      </c>
      <c r="F125" s="83" t="s">
        <v>13</v>
      </c>
      <c r="G125" s="6"/>
      <c r="H125" s="6"/>
      <c r="I125" s="32" t="b">
        <v>0</v>
      </c>
      <c r="J125" s="104" t="s">
        <v>356</v>
      </c>
      <c r="K125" s="103">
        <v>46227</v>
      </c>
      <c r="L125" s="103">
        <v>46234</v>
      </c>
      <c r="M125" s="103">
        <v>46249</v>
      </c>
      <c r="N125" s="103">
        <v>46255</v>
      </c>
    </row>
    <row r="126" spans="1:14" ht="21.4" x14ac:dyDescent="0.3">
      <c r="A126" s="34" t="s">
        <v>175</v>
      </c>
      <c r="B126" s="87" t="s">
        <v>127</v>
      </c>
      <c r="C126" s="83" t="s">
        <v>176</v>
      </c>
      <c r="D126" s="83" t="s">
        <v>11</v>
      </c>
      <c r="E126" s="83" t="s">
        <v>12</v>
      </c>
      <c r="F126" s="83" t="s">
        <v>13</v>
      </c>
      <c r="G126" s="6">
        <v>1.163</v>
      </c>
      <c r="H126" s="88">
        <v>46168</v>
      </c>
      <c r="I126" s="32" t="b">
        <v>1</v>
      </c>
      <c r="J126" s="104" t="s">
        <v>331</v>
      </c>
      <c r="K126" s="103">
        <v>46125</v>
      </c>
      <c r="L126" s="103">
        <v>46132</v>
      </c>
      <c r="M126" s="103">
        <v>46148</v>
      </c>
      <c r="N126" s="103">
        <v>46154</v>
      </c>
    </row>
    <row r="127" spans="1:14" ht="21.4" x14ac:dyDescent="0.3">
      <c r="A127" s="34" t="s">
        <v>177</v>
      </c>
      <c r="B127" s="91" t="s">
        <v>16</v>
      </c>
      <c r="C127" s="83"/>
      <c r="D127" s="83" t="s">
        <v>11</v>
      </c>
      <c r="E127" s="83" t="s">
        <v>12</v>
      </c>
      <c r="F127" s="83" t="s">
        <v>13</v>
      </c>
      <c r="G127" s="6"/>
      <c r="H127" s="6"/>
      <c r="I127" s="32" t="b">
        <v>0</v>
      </c>
      <c r="J127" s="104" t="s">
        <v>356</v>
      </c>
      <c r="K127" s="103">
        <v>46227</v>
      </c>
      <c r="L127" s="103">
        <v>46234</v>
      </c>
      <c r="M127" s="103">
        <v>46249</v>
      </c>
      <c r="N127" s="103">
        <v>46255</v>
      </c>
    </row>
    <row r="128" spans="1:14" ht="21.4" x14ac:dyDescent="0.3">
      <c r="A128" s="34" t="s">
        <v>178</v>
      </c>
      <c r="B128" s="87" t="s">
        <v>127</v>
      </c>
      <c r="C128" s="83" t="s">
        <v>179</v>
      </c>
      <c r="D128" s="83" t="s">
        <v>11</v>
      </c>
      <c r="E128" s="83" t="s">
        <v>12</v>
      </c>
      <c r="F128" s="83" t="s">
        <v>13</v>
      </c>
      <c r="G128" s="6">
        <v>7.5999999999999998E-2</v>
      </c>
      <c r="H128" s="88">
        <v>46168</v>
      </c>
      <c r="I128" s="32" t="b">
        <v>1</v>
      </c>
      <c r="J128" s="104" t="s">
        <v>331</v>
      </c>
      <c r="K128" s="103">
        <v>46125</v>
      </c>
      <c r="L128" s="103">
        <v>46132</v>
      </c>
      <c r="M128" s="103">
        <v>46148</v>
      </c>
      <c r="N128" s="103">
        <v>46154</v>
      </c>
    </row>
    <row r="129" spans="1:14" ht="21.4" x14ac:dyDescent="0.3">
      <c r="A129" s="34" t="s">
        <v>180</v>
      </c>
      <c r="B129" s="91" t="s">
        <v>16</v>
      </c>
      <c r="C129" s="83"/>
      <c r="D129" s="83" t="s">
        <v>11</v>
      </c>
      <c r="E129" s="83" t="s">
        <v>12</v>
      </c>
      <c r="F129" s="83" t="s">
        <v>13</v>
      </c>
      <c r="G129" s="6"/>
      <c r="H129" s="6"/>
      <c r="I129" s="32" t="b">
        <v>0</v>
      </c>
      <c r="J129" s="104" t="s">
        <v>356</v>
      </c>
      <c r="K129" s="103">
        <v>46227</v>
      </c>
      <c r="L129" s="103">
        <v>46234</v>
      </c>
      <c r="M129" s="103">
        <v>46249</v>
      </c>
      <c r="N129" s="103">
        <v>46255</v>
      </c>
    </row>
    <row r="130" spans="1:14" ht="21.4" x14ac:dyDescent="0.3">
      <c r="A130" s="34" t="s">
        <v>181</v>
      </c>
      <c r="B130" s="91" t="s">
        <v>16</v>
      </c>
      <c r="C130" s="83"/>
      <c r="D130" s="83" t="s">
        <v>11</v>
      </c>
      <c r="E130" s="83" t="s">
        <v>12</v>
      </c>
      <c r="F130" s="83" t="s">
        <v>13</v>
      </c>
      <c r="G130" s="6"/>
      <c r="H130" s="6"/>
      <c r="I130" s="32" t="b">
        <v>0</v>
      </c>
      <c r="J130" s="104" t="s">
        <v>356</v>
      </c>
      <c r="K130" s="103">
        <v>46227</v>
      </c>
      <c r="L130" s="103">
        <v>46234</v>
      </c>
      <c r="M130" s="103">
        <v>46249</v>
      </c>
      <c r="N130" s="103">
        <v>46255</v>
      </c>
    </row>
    <row r="131" spans="1:14" ht="21.4" x14ac:dyDescent="0.3">
      <c r="A131" s="34" t="s">
        <v>182</v>
      </c>
      <c r="B131" s="91" t="s">
        <v>16</v>
      </c>
      <c r="C131" s="83"/>
      <c r="D131" s="83" t="s">
        <v>11</v>
      </c>
      <c r="E131" s="83" t="s">
        <v>12</v>
      </c>
      <c r="F131" s="83" t="s">
        <v>13</v>
      </c>
      <c r="G131" s="6"/>
      <c r="H131" s="6"/>
      <c r="I131" s="32" t="b">
        <v>0</v>
      </c>
      <c r="J131" s="104" t="s">
        <v>356</v>
      </c>
      <c r="K131" s="103">
        <v>46227</v>
      </c>
      <c r="L131" s="103">
        <v>46234</v>
      </c>
      <c r="M131" s="103">
        <v>46249</v>
      </c>
      <c r="N131" s="103">
        <v>46255</v>
      </c>
    </row>
    <row r="132" spans="1:14" ht="21.4" x14ac:dyDescent="0.3">
      <c r="A132" s="34" t="s">
        <v>183</v>
      </c>
      <c r="B132" s="91" t="s">
        <v>16</v>
      </c>
      <c r="C132" s="83"/>
      <c r="D132" s="83" t="s">
        <v>11</v>
      </c>
      <c r="E132" s="83" t="s">
        <v>12</v>
      </c>
      <c r="F132" s="83" t="s">
        <v>13</v>
      </c>
      <c r="G132" s="6"/>
      <c r="H132" s="6"/>
      <c r="I132" s="32" t="b">
        <v>0</v>
      </c>
      <c r="J132" s="104" t="s">
        <v>356</v>
      </c>
      <c r="K132" s="103">
        <v>46227</v>
      </c>
      <c r="L132" s="103">
        <v>46234</v>
      </c>
      <c r="M132" s="103">
        <v>46249</v>
      </c>
      <c r="N132" s="103">
        <v>46255</v>
      </c>
    </row>
    <row r="133" spans="1:14" ht="21.4" x14ac:dyDescent="0.3">
      <c r="A133" s="34" t="s">
        <v>184</v>
      </c>
      <c r="B133" s="91" t="s">
        <v>16</v>
      </c>
      <c r="C133" s="83"/>
      <c r="D133" s="83" t="s">
        <v>11</v>
      </c>
      <c r="E133" s="83" t="s">
        <v>12</v>
      </c>
      <c r="F133" s="83" t="s">
        <v>13</v>
      </c>
      <c r="G133" s="6"/>
      <c r="H133" s="6"/>
      <c r="I133" s="32" t="b">
        <v>0</v>
      </c>
      <c r="J133" s="104" t="s">
        <v>357</v>
      </c>
      <c r="K133" s="103">
        <v>46242</v>
      </c>
      <c r="L133" s="103">
        <v>46251</v>
      </c>
      <c r="M133" s="103">
        <v>46265</v>
      </c>
      <c r="N133" s="103">
        <v>46270</v>
      </c>
    </row>
    <row r="134" spans="1:14" ht="21.4" x14ac:dyDescent="0.3">
      <c r="A134" s="34" t="s">
        <v>185</v>
      </c>
      <c r="B134" s="91" t="s">
        <v>16</v>
      </c>
      <c r="C134" s="83"/>
      <c r="D134" s="83" t="s">
        <v>11</v>
      </c>
      <c r="E134" s="83" t="s">
        <v>12</v>
      </c>
      <c r="F134" s="83" t="s">
        <v>13</v>
      </c>
      <c r="G134" s="6"/>
      <c r="H134" s="6"/>
      <c r="I134" s="32" t="b">
        <v>0</v>
      </c>
      <c r="J134" s="104" t="s">
        <v>357</v>
      </c>
      <c r="K134" s="103">
        <v>46242</v>
      </c>
      <c r="L134" s="103">
        <v>46251</v>
      </c>
      <c r="M134" s="103">
        <v>46265</v>
      </c>
      <c r="N134" s="103">
        <v>46270</v>
      </c>
    </row>
    <row r="135" spans="1:14" ht="21.4" x14ac:dyDescent="0.3">
      <c r="A135" s="34" t="s">
        <v>186</v>
      </c>
      <c r="B135" s="91" t="s">
        <v>16</v>
      </c>
      <c r="C135" s="83"/>
      <c r="D135" s="83" t="s">
        <v>11</v>
      </c>
      <c r="E135" s="83" t="s">
        <v>12</v>
      </c>
      <c r="F135" s="83" t="s">
        <v>13</v>
      </c>
      <c r="G135" s="6"/>
      <c r="H135" s="6"/>
      <c r="I135" s="32" t="b">
        <v>0</v>
      </c>
      <c r="J135" s="104" t="s">
        <v>357</v>
      </c>
      <c r="K135" s="103">
        <v>46242</v>
      </c>
      <c r="L135" s="103">
        <v>46251</v>
      </c>
      <c r="M135" s="103">
        <v>46265</v>
      </c>
      <c r="N135" s="103">
        <v>46270</v>
      </c>
    </row>
    <row r="136" spans="1:14" ht="21.4" x14ac:dyDescent="0.3">
      <c r="A136" s="34" t="s">
        <v>187</v>
      </c>
      <c r="B136" s="91" t="s">
        <v>16</v>
      </c>
      <c r="C136" s="83"/>
      <c r="D136" s="83" t="s">
        <v>11</v>
      </c>
      <c r="E136" s="83" t="s">
        <v>12</v>
      </c>
      <c r="F136" s="83" t="s">
        <v>13</v>
      </c>
      <c r="G136" s="6"/>
      <c r="H136" s="6"/>
      <c r="I136" s="32" t="b">
        <v>0</v>
      </c>
      <c r="J136" s="104" t="s">
        <v>357</v>
      </c>
      <c r="K136" s="103">
        <v>46242</v>
      </c>
      <c r="L136" s="103">
        <v>46251</v>
      </c>
      <c r="M136" s="103">
        <v>46265</v>
      </c>
      <c r="N136" s="103">
        <v>46270</v>
      </c>
    </row>
    <row r="137" spans="1:14" ht="21.4" x14ac:dyDescent="0.3">
      <c r="A137" s="34" t="s">
        <v>188</v>
      </c>
      <c r="B137" s="91" t="s">
        <v>16</v>
      </c>
      <c r="C137" s="83"/>
      <c r="D137" s="83" t="s">
        <v>11</v>
      </c>
      <c r="E137" s="83" t="s">
        <v>12</v>
      </c>
      <c r="F137" s="83" t="s">
        <v>13</v>
      </c>
      <c r="G137" s="6"/>
      <c r="H137" s="6"/>
      <c r="I137" s="32" t="b">
        <v>0</v>
      </c>
      <c r="J137" s="104" t="s">
        <v>357</v>
      </c>
      <c r="K137" s="103">
        <v>46242</v>
      </c>
      <c r="L137" s="103">
        <v>46251</v>
      </c>
      <c r="M137" s="103">
        <v>46265</v>
      </c>
      <c r="N137" s="103">
        <v>46270</v>
      </c>
    </row>
    <row r="138" spans="1:14" ht="21.4" x14ac:dyDescent="0.3">
      <c r="A138" s="34" t="s">
        <v>189</v>
      </c>
      <c r="B138" s="91" t="s">
        <v>16</v>
      </c>
      <c r="C138" s="83"/>
      <c r="D138" s="83" t="s">
        <v>11</v>
      </c>
      <c r="E138" s="83" t="s">
        <v>12</v>
      </c>
      <c r="F138" s="83" t="s">
        <v>13</v>
      </c>
      <c r="G138" s="6"/>
      <c r="H138" s="6"/>
      <c r="I138" s="32" t="b">
        <v>0</v>
      </c>
      <c r="J138" s="104" t="s">
        <v>357</v>
      </c>
      <c r="K138" s="103">
        <v>46242</v>
      </c>
      <c r="L138" s="103">
        <v>46251</v>
      </c>
      <c r="M138" s="103">
        <v>46265</v>
      </c>
      <c r="N138" s="103">
        <v>46270</v>
      </c>
    </row>
    <row r="139" spans="1:14" ht="21.4" x14ac:dyDescent="0.3">
      <c r="A139" s="34" t="s">
        <v>190</v>
      </c>
      <c r="B139" s="91" t="s">
        <v>16</v>
      </c>
      <c r="C139" s="83"/>
      <c r="D139" s="83" t="s">
        <v>11</v>
      </c>
      <c r="E139" s="83" t="s">
        <v>12</v>
      </c>
      <c r="F139" s="83" t="s">
        <v>13</v>
      </c>
      <c r="G139" s="6"/>
      <c r="H139" s="6"/>
      <c r="I139" s="32" t="b">
        <v>0</v>
      </c>
      <c r="J139" s="104" t="s">
        <v>357</v>
      </c>
      <c r="K139" s="103">
        <v>46242</v>
      </c>
      <c r="L139" s="103">
        <v>46251</v>
      </c>
      <c r="M139" s="103">
        <v>46265</v>
      </c>
      <c r="N139" s="103">
        <v>46270</v>
      </c>
    </row>
    <row r="140" spans="1:14" ht="21.4" x14ac:dyDescent="0.3">
      <c r="A140" s="34" t="s">
        <v>191</v>
      </c>
      <c r="B140" s="91" t="s">
        <v>16</v>
      </c>
      <c r="C140" s="83"/>
      <c r="D140" s="83" t="s">
        <v>11</v>
      </c>
      <c r="E140" s="83" t="s">
        <v>12</v>
      </c>
      <c r="F140" s="83" t="s">
        <v>13</v>
      </c>
      <c r="G140" s="6"/>
      <c r="H140" s="6"/>
      <c r="I140" s="32" t="b">
        <v>0</v>
      </c>
      <c r="J140" s="104" t="s">
        <v>357</v>
      </c>
      <c r="K140" s="103">
        <v>46242</v>
      </c>
      <c r="L140" s="103">
        <v>46251</v>
      </c>
      <c r="M140" s="103">
        <v>46265</v>
      </c>
      <c r="N140" s="103">
        <v>46270</v>
      </c>
    </row>
    <row r="141" spans="1:14" ht="21.4" x14ac:dyDescent="0.3">
      <c r="A141" s="34" t="s">
        <v>192</v>
      </c>
      <c r="B141" s="91" t="s">
        <v>16</v>
      </c>
      <c r="C141" s="83"/>
      <c r="D141" s="83" t="s">
        <v>11</v>
      </c>
      <c r="E141" s="83" t="s">
        <v>12</v>
      </c>
      <c r="F141" s="83" t="s">
        <v>13</v>
      </c>
      <c r="G141" s="6"/>
      <c r="H141" s="6"/>
      <c r="I141" s="32" t="b">
        <v>0</v>
      </c>
      <c r="J141" s="104" t="s">
        <v>358</v>
      </c>
      <c r="K141" s="103">
        <v>46273</v>
      </c>
      <c r="L141" s="103">
        <v>46280</v>
      </c>
      <c r="M141" s="103">
        <v>46295</v>
      </c>
      <c r="N141" s="103">
        <v>46301</v>
      </c>
    </row>
    <row r="142" spans="1:14" ht="21.4" x14ac:dyDescent="0.3">
      <c r="A142" s="34" t="s">
        <v>193</v>
      </c>
      <c r="B142" s="92" t="s">
        <v>10</v>
      </c>
      <c r="C142" s="83"/>
      <c r="D142" s="83" t="s">
        <v>11</v>
      </c>
      <c r="E142" s="83" t="s">
        <v>12</v>
      </c>
      <c r="F142" s="83" t="s">
        <v>13</v>
      </c>
      <c r="G142" s="6"/>
      <c r="H142" s="6"/>
      <c r="I142" s="32" t="b">
        <v>0</v>
      </c>
      <c r="J142" s="104" t="s">
        <v>359</v>
      </c>
      <c r="K142" s="103">
        <v>46259</v>
      </c>
      <c r="L142" s="103">
        <v>46266</v>
      </c>
      <c r="M142" s="103">
        <v>46280</v>
      </c>
      <c r="N142" s="103">
        <v>46286</v>
      </c>
    </row>
    <row r="143" spans="1:14" ht="21.4" x14ac:dyDescent="0.3">
      <c r="A143" s="34" t="s">
        <v>194</v>
      </c>
      <c r="B143" s="91" t="s">
        <v>16</v>
      </c>
      <c r="C143" s="83"/>
      <c r="D143" s="83" t="s">
        <v>11</v>
      </c>
      <c r="E143" s="83" t="s">
        <v>12</v>
      </c>
      <c r="F143" s="83" t="s">
        <v>13</v>
      </c>
      <c r="G143" s="6"/>
      <c r="H143" s="6"/>
      <c r="I143" s="32" t="b">
        <v>0</v>
      </c>
      <c r="J143" s="104" t="s">
        <v>358</v>
      </c>
      <c r="K143" s="103">
        <v>46273</v>
      </c>
      <c r="L143" s="103">
        <v>46280</v>
      </c>
      <c r="M143" s="103">
        <v>46295</v>
      </c>
      <c r="N143" s="103">
        <v>46301</v>
      </c>
    </row>
    <row r="144" spans="1:14" ht="21.4" x14ac:dyDescent="0.3">
      <c r="A144" s="34" t="s">
        <v>195</v>
      </c>
      <c r="B144" s="92" t="s">
        <v>10</v>
      </c>
      <c r="C144" s="83"/>
      <c r="D144" s="83" t="s">
        <v>11</v>
      </c>
      <c r="E144" s="83" t="s">
        <v>12</v>
      </c>
      <c r="F144" s="83" t="s">
        <v>13</v>
      </c>
      <c r="G144" s="6"/>
      <c r="H144" s="6"/>
      <c r="I144" s="32" t="b">
        <v>0</v>
      </c>
      <c r="J144" s="104" t="s">
        <v>359</v>
      </c>
      <c r="K144" s="103">
        <v>46259</v>
      </c>
      <c r="L144" s="103">
        <v>46266</v>
      </c>
      <c r="M144" s="103">
        <v>46280</v>
      </c>
      <c r="N144" s="103">
        <v>46286</v>
      </c>
    </row>
    <row r="145" spans="1:14" ht="21.4" x14ac:dyDescent="0.3">
      <c r="A145" s="34" t="s">
        <v>196</v>
      </c>
      <c r="B145" s="91" t="s">
        <v>16</v>
      </c>
      <c r="C145" s="83"/>
      <c r="D145" s="83" t="s">
        <v>11</v>
      </c>
      <c r="E145" s="83" t="s">
        <v>12</v>
      </c>
      <c r="F145" s="83" t="s">
        <v>13</v>
      </c>
      <c r="G145" s="6"/>
      <c r="H145" s="6"/>
      <c r="I145" s="32" t="b">
        <v>0</v>
      </c>
      <c r="J145" s="104" t="s">
        <v>358</v>
      </c>
      <c r="K145" s="103">
        <v>46273</v>
      </c>
      <c r="L145" s="103">
        <v>46280</v>
      </c>
      <c r="M145" s="103">
        <v>46295</v>
      </c>
      <c r="N145" s="103">
        <v>46301</v>
      </c>
    </row>
    <row r="146" spans="1:14" ht="21.4" x14ac:dyDescent="0.3">
      <c r="A146" s="34" t="s">
        <v>197</v>
      </c>
      <c r="B146" s="92" t="s">
        <v>10</v>
      </c>
      <c r="C146" s="83"/>
      <c r="D146" s="83" t="s">
        <v>11</v>
      </c>
      <c r="E146" s="83" t="s">
        <v>12</v>
      </c>
      <c r="F146" s="83" t="s">
        <v>13</v>
      </c>
      <c r="G146" s="6"/>
      <c r="H146" s="6"/>
      <c r="I146" s="32" t="b">
        <v>0</v>
      </c>
      <c r="J146" s="104" t="s">
        <v>359</v>
      </c>
      <c r="K146" s="103">
        <v>46259</v>
      </c>
      <c r="L146" s="103">
        <v>46266</v>
      </c>
      <c r="M146" s="103">
        <v>46280</v>
      </c>
      <c r="N146" s="103">
        <v>46286</v>
      </c>
    </row>
    <row r="147" spans="1:14" ht="21.4" x14ac:dyDescent="0.3">
      <c r="A147" s="34" t="s">
        <v>198</v>
      </c>
      <c r="B147" s="91" t="s">
        <v>16</v>
      </c>
      <c r="C147" s="83"/>
      <c r="D147" s="83" t="s">
        <v>11</v>
      </c>
      <c r="E147" s="83" t="s">
        <v>12</v>
      </c>
      <c r="F147" s="83" t="s">
        <v>13</v>
      </c>
      <c r="G147" s="6"/>
      <c r="H147" s="6"/>
      <c r="I147" s="32" t="b">
        <v>0</v>
      </c>
      <c r="J147" s="104" t="s">
        <v>358</v>
      </c>
      <c r="K147" s="103">
        <v>46273</v>
      </c>
      <c r="L147" s="103">
        <v>46280</v>
      </c>
      <c r="M147" s="103">
        <v>46295</v>
      </c>
      <c r="N147" s="103">
        <v>46301</v>
      </c>
    </row>
    <row r="148" spans="1:14" ht="21.4" x14ac:dyDescent="0.3">
      <c r="A148" s="34" t="s">
        <v>199</v>
      </c>
      <c r="B148" s="92" t="s">
        <v>10</v>
      </c>
      <c r="C148" s="83"/>
      <c r="D148" s="83" t="s">
        <v>11</v>
      </c>
      <c r="E148" s="83" t="s">
        <v>12</v>
      </c>
      <c r="F148" s="83" t="s">
        <v>13</v>
      </c>
      <c r="G148" s="6"/>
      <c r="H148" s="6"/>
      <c r="I148" s="32" t="b">
        <v>0</v>
      </c>
      <c r="J148" s="104" t="s">
        <v>359</v>
      </c>
      <c r="K148" s="103">
        <v>46259</v>
      </c>
      <c r="L148" s="103">
        <v>46266</v>
      </c>
      <c r="M148" s="103">
        <v>46280</v>
      </c>
      <c r="N148" s="103">
        <v>46286</v>
      </c>
    </row>
    <row r="149" spans="1:14" ht="21.4" x14ac:dyDescent="0.3">
      <c r="A149" s="34" t="s">
        <v>200</v>
      </c>
      <c r="B149" s="91" t="s">
        <v>16</v>
      </c>
      <c r="C149" s="83"/>
      <c r="D149" s="83" t="s">
        <v>11</v>
      </c>
      <c r="E149" s="83" t="s">
        <v>12</v>
      </c>
      <c r="F149" s="83" t="s">
        <v>13</v>
      </c>
      <c r="G149" s="6"/>
      <c r="H149" s="6"/>
      <c r="I149" s="32" t="b">
        <v>0</v>
      </c>
      <c r="J149" s="104" t="s">
        <v>358</v>
      </c>
      <c r="K149" s="103">
        <v>46273</v>
      </c>
      <c r="L149" s="103">
        <v>46280</v>
      </c>
      <c r="M149" s="103">
        <v>46295</v>
      </c>
      <c r="N149" s="103">
        <v>46301</v>
      </c>
    </row>
    <row r="150" spans="1:14" ht="21.4" x14ac:dyDescent="0.3">
      <c r="A150" s="34" t="s">
        <v>201</v>
      </c>
      <c r="B150" s="92" t="s">
        <v>10</v>
      </c>
      <c r="C150" s="83"/>
      <c r="D150" s="83" t="s">
        <v>11</v>
      </c>
      <c r="E150" s="83" t="s">
        <v>12</v>
      </c>
      <c r="F150" s="83" t="s">
        <v>13</v>
      </c>
      <c r="G150" s="6"/>
      <c r="H150" s="6"/>
      <c r="I150" s="32" t="b">
        <v>0</v>
      </c>
      <c r="J150" s="104" t="s">
        <v>359</v>
      </c>
      <c r="K150" s="103">
        <v>46259</v>
      </c>
      <c r="L150" s="103">
        <v>46266</v>
      </c>
      <c r="M150" s="103">
        <v>46280</v>
      </c>
      <c r="N150" s="103">
        <v>46286</v>
      </c>
    </row>
    <row r="151" spans="1:14" ht="21.4" x14ac:dyDescent="0.3">
      <c r="A151" s="34" t="s">
        <v>202</v>
      </c>
      <c r="B151" s="91" t="s">
        <v>16</v>
      </c>
      <c r="C151" s="83"/>
      <c r="D151" s="83" t="s">
        <v>11</v>
      </c>
      <c r="E151" s="83" t="s">
        <v>12</v>
      </c>
      <c r="F151" s="83" t="s">
        <v>13</v>
      </c>
      <c r="G151" s="6"/>
      <c r="H151" s="6"/>
      <c r="I151" s="32" t="b">
        <v>0</v>
      </c>
      <c r="J151" s="104" t="s">
        <v>358</v>
      </c>
      <c r="K151" s="103">
        <v>46273</v>
      </c>
      <c r="L151" s="103">
        <v>46280</v>
      </c>
      <c r="M151" s="103">
        <v>46295</v>
      </c>
      <c r="N151" s="103">
        <v>46301</v>
      </c>
    </row>
    <row r="152" spans="1:14" ht="21.4" x14ac:dyDescent="0.3">
      <c r="A152" s="34" t="s">
        <v>203</v>
      </c>
      <c r="B152" s="92" t="s">
        <v>10</v>
      </c>
      <c r="C152" s="83"/>
      <c r="D152" s="83" t="s">
        <v>11</v>
      </c>
      <c r="E152" s="83" t="s">
        <v>12</v>
      </c>
      <c r="F152" s="83" t="s">
        <v>13</v>
      </c>
      <c r="G152" s="6"/>
      <c r="H152" s="6"/>
      <c r="I152" s="32" t="b">
        <v>0</v>
      </c>
      <c r="J152" s="104" t="s">
        <v>359</v>
      </c>
      <c r="K152" s="103">
        <v>46259</v>
      </c>
      <c r="L152" s="103">
        <v>46266</v>
      </c>
      <c r="M152" s="103">
        <v>46280</v>
      </c>
      <c r="N152" s="103">
        <v>46286</v>
      </c>
    </row>
    <row r="153" spans="1:14" ht="21.4" x14ac:dyDescent="0.3">
      <c r="A153" s="34" t="s">
        <v>204</v>
      </c>
      <c r="B153" s="91" t="s">
        <v>16</v>
      </c>
      <c r="C153" s="83"/>
      <c r="D153" s="83" t="s">
        <v>11</v>
      </c>
      <c r="E153" s="83" t="s">
        <v>12</v>
      </c>
      <c r="F153" s="83" t="s">
        <v>13</v>
      </c>
      <c r="G153" s="6"/>
      <c r="H153" s="6"/>
      <c r="I153" s="32" t="b">
        <v>0</v>
      </c>
      <c r="J153" s="104" t="s">
        <v>358</v>
      </c>
      <c r="K153" s="103">
        <v>46273</v>
      </c>
      <c r="L153" s="103">
        <v>46280</v>
      </c>
      <c r="M153" s="103">
        <v>46295</v>
      </c>
      <c r="N153" s="103">
        <v>46301</v>
      </c>
    </row>
    <row r="154" spans="1:14" ht="21.4" x14ac:dyDescent="0.3">
      <c r="A154" s="34" t="s">
        <v>205</v>
      </c>
      <c r="B154" s="92" t="s">
        <v>10</v>
      </c>
      <c r="C154" s="83"/>
      <c r="D154" s="83" t="s">
        <v>11</v>
      </c>
      <c r="E154" s="83" t="s">
        <v>12</v>
      </c>
      <c r="F154" s="83" t="s">
        <v>13</v>
      </c>
      <c r="G154" s="6"/>
      <c r="H154" s="6"/>
      <c r="I154" s="32" t="b">
        <v>0</v>
      </c>
      <c r="J154" s="104" t="s">
        <v>359</v>
      </c>
      <c r="K154" s="103">
        <v>46259</v>
      </c>
      <c r="L154" s="103">
        <v>46266</v>
      </c>
      <c r="M154" s="103">
        <v>46280</v>
      </c>
      <c r="N154" s="103">
        <v>46286</v>
      </c>
    </row>
    <row r="155" spans="1:14" ht="21.4" x14ac:dyDescent="0.3">
      <c r="A155" s="34" t="s">
        <v>206</v>
      </c>
      <c r="B155" s="92" t="s">
        <v>10</v>
      </c>
      <c r="C155" s="83"/>
      <c r="D155" s="83" t="s">
        <v>11</v>
      </c>
      <c r="E155" s="83" t="s">
        <v>12</v>
      </c>
      <c r="F155" s="83" t="s">
        <v>13</v>
      </c>
      <c r="G155" s="6"/>
      <c r="H155" s="6"/>
      <c r="I155" s="32" t="b">
        <v>0</v>
      </c>
      <c r="J155" s="104" t="s">
        <v>359</v>
      </c>
      <c r="K155" s="103">
        <v>46259</v>
      </c>
      <c r="L155" s="103">
        <v>46266</v>
      </c>
      <c r="M155" s="103">
        <v>46280</v>
      </c>
      <c r="N155" s="103">
        <v>46286</v>
      </c>
    </row>
    <row r="156" spans="1:14" ht="21.4" x14ac:dyDescent="0.3">
      <c r="A156" s="34" t="s">
        <v>207</v>
      </c>
      <c r="B156" s="92" t="s">
        <v>10</v>
      </c>
      <c r="C156" s="83"/>
      <c r="D156" s="83" t="s">
        <v>11</v>
      </c>
      <c r="E156" s="83" t="s">
        <v>12</v>
      </c>
      <c r="F156" s="83" t="s">
        <v>13</v>
      </c>
      <c r="G156" s="6"/>
      <c r="H156" s="6"/>
      <c r="I156" s="32" t="b">
        <v>0</v>
      </c>
      <c r="J156" s="104" t="s">
        <v>350</v>
      </c>
      <c r="K156" s="103">
        <v>46226</v>
      </c>
      <c r="L156" s="103">
        <v>46233</v>
      </c>
      <c r="M156" s="103">
        <v>46248</v>
      </c>
      <c r="N156" s="103">
        <v>46254</v>
      </c>
    </row>
    <row r="157" spans="1:14" ht="21.4" x14ac:dyDescent="0.3">
      <c r="A157" s="34" t="s">
        <v>208</v>
      </c>
      <c r="B157" s="92" t="s">
        <v>10</v>
      </c>
      <c r="C157" s="83"/>
      <c r="D157" s="83" t="s">
        <v>11</v>
      </c>
      <c r="E157" s="83" t="s">
        <v>12</v>
      </c>
      <c r="F157" s="83" t="s">
        <v>13</v>
      </c>
      <c r="G157" s="6"/>
      <c r="H157" s="6"/>
      <c r="I157" s="32" t="b">
        <v>0</v>
      </c>
      <c r="J157" s="104" t="s">
        <v>350</v>
      </c>
      <c r="K157" s="103">
        <v>46226</v>
      </c>
      <c r="L157" s="103">
        <v>46233</v>
      </c>
      <c r="M157" s="103">
        <v>46248</v>
      </c>
      <c r="N157" s="103">
        <v>46254</v>
      </c>
    </row>
    <row r="158" spans="1:14" ht="21.4" x14ac:dyDescent="0.3">
      <c r="A158" s="34" t="s">
        <v>209</v>
      </c>
      <c r="B158" s="92" t="s">
        <v>10</v>
      </c>
      <c r="C158" s="83"/>
      <c r="D158" s="83" t="s">
        <v>11</v>
      </c>
      <c r="E158" s="83" t="s">
        <v>12</v>
      </c>
      <c r="F158" s="83" t="s">
        <v>13</v>
      </c>
      <c r="G158" s="6"/>
      <c r="H158" s="6"/>
      <c r="I158" s="32" t="b">
        <v>0</v>
      </c>
      <c r="J158" s="104" t="s">
        <v>350</v>
      </c>
      <c r="K158" s="103">
        <v>46226</v>
      </c>
      <c r="L158" s="103">
        <v>46233</v>
      </c>
      <c r="M158" s="103">
        <v>46248</v>
      </c>
      <c r="N158" s="103">
        <v>46254</v>
      </c>
    </row>
    <row r="159" spans="1:14" ht="21.4" x14ac:dyDescent="0.3">
      <c r="A159" s="34" t="s">
        <v>210</v>
      </c>
      <c r="B159" s="92" t="s">
        <v>10</v>
      </c>
      <c r="C159" s="83"/>
      <c r="D159" s="83" t="s">
        <v>11</v>
      </c>
      <c r="E159" s="83" t="s">
        <v>12</v>
      </c>
      <c r="F159" s="83" t="s">
        <v>13</v>
      </c>
      <c r="G159" s="6"/>
      <c r="H159" s="6"/>
      <c r="I159" s="32" t="b">
        <v>0</v>
      </c>
      <c r="J159" s="104" t="s">
        <v>350</v>
      </c>
      <c r="K159" s="103">
        <v>46226</v>
      </c>
      <c r="L159" s="103">
        <v>46233</v>
      </c>
      <c r="M159" s="103">
        <v>46248</v>
      </c>
      <c r="N159" s="103">
        <v>46254</v>
      </c>
    </row>
    <row r="160" spans="1:14" ht="21.4" x14ac:dyDescent="0.3">
      <c r="A160" s="34" t="s">
        <v>211</v>
      </c>
      <c r="B160" s="92" t="s">
        <v>10</v>
      </c>
      <c r="C160" s="83"/>
      <c r="D160" s="83" t="s">
        <v>11</v>
      </c>
      <c r="E160" s="83" t="s">
        <v>12</v>
      </c>
      <c r="F160" s="83" t="s">
        <v>13</v>
      </c>
      <c r="G160" s="6"/>
      <c r="H160" s="6"/>
      <c r="I160" s="32" t="b">
        <v>0</v>
      </c>
      <c r="J160" s="104" t="s">
        <v>350</v>
      </c>
      <c r="K160" s="103">
        <v>46226</v>
      </c>
      <c r="L160" s="103">
        <v>46233</v>
      </c>
      <c r="M160" s="103">
        <v>46248</v>
      </c>
      <c r="N160" s="103">
        <v>46254</v>
      </c>
    </row>
    <row r="161" spans="1:14" ht="21.4" x14ac:dyDescent="0.3">
      <c r="A161" s="34" t="s">
        <v>212</v>
      </c>
      <c r="B161" s="92" t="s">
        <v>10</v>
      </c>
      <c r="C161" s="83"/>
      <c r="D161" s="83" t="s">
        <v>11</v>
      </c>
      <c r="E161" s="83" t="s">
        <v>12</v>
      </c>
      <c r="F161" s="83" t="s">
        <v>13</v>
      </c>
      <c r="G161" s="6"/>
      <c r="H161" s="6"/>
      <c r="I161" s="32" t="b">
        <v>0</v>
      </c>
      <c r="J161" s="104" t="s">
        <v>350</v>
      </c>
      <c r="K161" s="103">
        <v>46226</v>
      </c>
      <c r="L161" s="103">
        <v>46233</v>
      </c>
      <c r="M161" s="103">
        <v>46248</v>
      </c>
      <c r="N161" s="103">
        <v>46254</v>
      </c>
    </row>
    <row r="162" spans="1:14" ht="21.4" x14ac:dyDescent="0.3">
      <c r="A162" s="34" t="s">
        <v>213</v>
      </c>
      <c r="B162" s="92" t="s">
        <v>10</v>
      </c>
      <c r="C162" s="83"/>
      <c r="D162" s="83" t="s">
        <v>11</v>
      </c>
      <c r="E162" s="83" t="s">
        <v>12</v>
      </c>
      <c r="F162" s="83" t="s">
        <v>13</v>
      </c>
      <c r="G162" s="6"/>
      <c r="H162" s="6"/>
      <c r="I162" s="32" t="b">
        <v>0</v>
      </c>
      <c r="J162" s="104" t="s">
        <v>350</v>
      </c>
      <c r="K162" s="103">
        <v>46226</v>
      </c>
      <c r="L162" s="103">
        <v>46233</v>
      </c>
      <c r="M162" s="103">
        <v>46248</v>
      </c>
      <c r="N162" s="103">
        <v>46254</v>
      </c>
    </row>
    <row r="163" spans="1:14" ht="21.4" x14ac:dyDescent="0.3">
      <c r="A163" s="34" t="s">
        <v>214</v>
      </c>
      <c r="B163" s="92" t="s">
        <v>10</v>
      </c>
      <c r="C163" s="83"/>
      <c r="D163" s="83" t="s">
        <v>11</v>
      </c>
      <c r="E163" s="83" t="s">
        <v>12</v>
      </c>
      <c r="F163" s="83" t="s">
        <v>13</v>
      </c>
      <c r="G163" s="6"/>
      <c r="H163" s="6"/>
      <c r="I163" s="32" t="b">
        <v>0</v>
      </c>
      <c r="J163" s="104" t="s">
        <v>350</v>
      </c>
      <c r="K163" s="103">
        <v>46226</v>
      </c>
      <c r="L163" s="103">
        <v>46233</v>
      </c>
      <c r="M163" s="103">
        <v>46248</v>
      </c>
      <c r="N163" s="103">
        <v>46254</v>
      </c>
    </row>
    <row r="164" spans="1:14" ht="21.4" x14ac:dyDescent="0.3">
      <c r="A164" s="34" t="s">
        <v>215</v>
      </c>
      <c r="B164" s="92" t="s">
        <v>10</v>
      </c>
      <c r="C164" s="83"/>
      <c r="D164" s="83" t="s">
        <v>11</v>
      </c>
      <c r="E164" s="83" t="s">
        <v>12</v>
      </c>
      <c r="F164" s="83" t="s">
        <v>13</v>
      </c>
      <c r="G164" s="6"/>
      <c r="H164" s="6"/>
      <c r="I164" s="32" t="b">
        <v>0</v>
      </c>
      <c r="J164" s="104" t="s">
        <v>349</v>
      </c>
      <c r="K164" s="103">
        <v>46211</v>
      </c>
      <c r="L164" s="103">
        <v>46218</v>
      </c>
      <c r="M164" s="103">
        <v>46232</v>
      </c>
      <c r="N164" s="103">
        <v>46238</v>
      </c>
    </row>
    <row r="165" spans="1:14" ht="21.4" x14ac:dyDescent="0.3">
      <c r="A165" s="34" t="s">
        <v>216</v>
      </c>
      <c r="B165" s="92" t="s">
        <v>10</v>
      </c>
      <c r="C165" s="83"/>
      <c r="D165" s="83" t="s">
        <v>11</v>
      </c>
      <c r="E165" s="83" t="s">
        <v>12</v>
      </c>
      <c r="F165" s="83" t="s">
        <v>13</v>
      </c>
      <c r="G165" s="6"/>
      <c r="H165" s="6"/>
      <c r="I165" s="32" t="b">
        <v>0</v>
      </c>
      <c r="J165" s="104" t="s">
        <v>349</v>
      </c>
      <c r="K165" s="103">
        <v>46211</v>
      </c>
      <c r="L165" s="103">
        <v>46218</v>
      </c>
      <c r="M165" s="103">
        <v>46232</v>
      </c>
      <c r="N165" s="103">
        <v>46238</v>
      </c>
    </row>
    <row r="166" spans="1:14" ht="21.4" x14ac:dyDescent="0.3">
      <c r="A166" s="34" t="s">
        <v>217</v>
      </c>
      <c r="B166" s="92" t="s">
        <v>10</v>
      </c>
      <c r="C166" s="83"/>
      <c r="D166" s="83" t="s">
        <v>11</v>
      </c>
      <c r="E166" s="83" t="s">
        <v>12</v>
      </c>
      <c r="F166" s="83" t="s">
        <v>13</v>
      </c>
      <c r="G166" s="6"/>
      <c r="H166" s="6"/>
      <c r="I166" s="32" t="b">
        <v>0</v>
      </c>
      <c r="J166" s="104" t="s">
        <v>349</v>
      </c>
      <c r="K166" s="103">
        <v>46211</v>
      </c>
      <c r="L166" s="103">
        <v>46218</v>
      </c>
      <c r="M166" s="103">
        <v>46232</v>
      </c>
      <c r="N166" s="103">
        <v>46238</v>
      </c>
    </row>
    <row r="167" spans="1:14" ht="21.4" x14ac:dyDescent="0.3">
      <c r="A167" s="34" t="s">
        <v>218</v>
      </c>
      <c r="B167" s="92" t="s">
        <v>10</v>
      </c>
      <c r="C167" s="83"/>
      <c r="D167" s="83" t="s">
        <v>11</v>
      </c>
      <c r="E167" s="83" t="s">
        <v>12</v>
      </c>
      <c r="F167" s="83" t="s">
        <v>13</v>
      </c>
      <c r="G167" s="6"/>
      <c r="H167" s="6"/>
      <c r="I167" s="32" t="b">
        <v>0</v>
      </c>
      <c r="J167" s="104" t="s">
        <v>349</v>
      </c>
      <c r="K167" s="103">
        <v>46211</v>
      </c>
      <c r="L167" s="103">
        <v>46218</v>
      </c>
      <c r="M167" s="103">
        <v>46232</v>
      </c>
      <c r="N167" s="103">
        <v>46238</v>
      </c>
    </row>
    <row r="168" spans="1:14" ht="21.4" x14ac:dyDescent="0.3">
      <c r="A168" s="34" t="s">
        <v>219</v>
      </c>
      <c r="B168" s="92" t="s">
        <v>10</v>
      </c>
      <c r="C168" s="83"/>
      <c r="D168" s="83" t="s">
        <v>11</v>
      </c>
      <c r="E168" s="83" t="s">
        <v>12</v>
      </c>
      <c r="F168" s="83" t="s">
        <v>13</v>
      </c>
      <c r="G168" s="6"/>
      <c r="H168" s="6"/>
      <c r="I168" s="32" t="b">
        <v>0</v>
      </c>
      <c r="J168" s="104" t="s">
        <v>349</v>
      </c>
      <c r="K168" s="103">
        <v>46211</v>
      </c>
      <c r="L168" s="103">
        <v>46218</v>
      </c>
      <c r="M168" s="103">
        <v>46232</v>
      </c>
      <c r="N168" s="103">
        <v>46238</v>
      </c>
    </row>
    <row r="169" spans="1:14" ht="21.4" x14ac:dyDescent="0.3">
      <c r="A169" s="34" t="s">
        <v>220</v>
      </c>
      <c r="B169" s="92" t="s">
        <v>10</v>
      </c>
      <c r="C169" s="83"/>
      <c r="D169" s="83" t="s">
        <v>11</v>
      </c>
      <c r="E169" s="83" t="s">
        <v>12</v>
      </c>
      <c r="F169" s="83" t="s">
        <v>13</v>
      </c>
      <c r="G169" s="6"/>
      <c r="H169" s="6"/>
      <c r="I169" s="32" t="b">
        <v>0</v>
      </c>
      <c r="J169" s="104" t="s">
        <v>349</v>
      </c>
      <c r="K169" s="103">
        <v>46211</v>
      </c>
      <c r="L169" s="103">
        <v>46218</v>
      </c>
      <c r="M169" s="103">
        <v>46232</v>
      </c>
      <c r="N169" s="103">
        <v>46238</v>
      </c>
    </row>
    <row r="170" spans="1:14" ht="21.4" x14ac:dyDescent="0.3">
      <c r="A170" s="34" t="s">
        <v>221</v>
      </c>
      <c r="B170" s="92" t="s">
        <v>10</v>
      </c>
      <c r="C170" s="83"/>
      <c r="D170" s="83" t="s">
        <v>11</v>
      </c>
      <c r="E170" s="83" t="s">
        <v>12</v>
      </c>
      <c r="F170" s="83" t="s">
        <v>13</v>
      </c>
      <c r="G170" s="6"/>
      <c r="H170" s="6"/>
      <c r="I170" s="32" t="b">
        <v>0</v>
      </c>
      <c r="J170" s="104" t="s">
        <v>349</v>
      </c>
      <c r="K170" s="103">
        <v>46211</v>
      </c>
      <c r="L170" s="103">
        <v>46218</v>
      </c>
      <c r="M170" s="103">
        <v>46232</v>
      </c>
      <c r="N170" s="103">
        <v>46238</v>
      </c>
    </row>
    <row r="171" spans="1:14" ht="21.4" x14ac:dyDescent="0.3">
      <c r="A171" s="34" t="s">
        <v>222</v>
      </c>
      <c r="B171" s="90" t="s">
        <v>103</v>
      </c>
      <c r="C171" s="83"/>
      <c r="D171" s="83" t="s">
        <v>11</v>
      </c>
      <c r="E171" s="83" t="s">
        <v>12</v>
      </c>
      <c r="F171" s="83" t="s">
        <v>13</v>
      </c>
      <c r="G171" s="6"/>
      <c r="H171" s="6"/>
      <c r="I171" s="32" t="b">
        <v>0</v>
      </c>
      <c r="J171" s="104" t="s">
        <v>342</v>
      </c>
      <c r="K171" s="103">
        <v>46238</v>
      </c>
      <c r="L171" s="103">
        <v>46246</v>
      </c>
      <c r="M171" s="103">
        <v>46260</v>
      </c>
      <c r="N171" s="103">
        <v>46266</v>
      </c>
    </row>
    <row r="172" spans="1:14" ht="21.4" x14ac:dyDescent="0.3">
      <c r="A172" s="34" t="s">
        <v>224</v>
      </c>
      <c r="B172" s="90" t="s">
        <v>103</v>
      </c>
      <c r="C172" s="83"/>
      <c r="D172" s="83" t="s">
        <v>11</v>
      </c>
      <c r="E172" s="83" t="s">
        <v>12</v>
      </c>
      <c r="F172" s="83" t="s">
        <v>13</v>
      </c>
      <c r="G172" s="6"/>
      <c r="H172" s="6"/>
      <c r="I172" s="32" t="b">
        <v>0</v>
      </c>
      <c r="J172" s="104" t="s">
        <v>342</v>
      </c>
      <c r="K172" s="103">
        <v>46238</v>
      </c>
      <c r="L172" s="103">
        <v>46246</v>
      </c>
      <c r="M172" s="103">
        <v>46260</v>
      </c>
      <c r="N172" s="103">
        <v>46266</v>
      </c>
    </row>
    <row r="173" spans="1:14" ht="21.4" x14ac:dyDescent="0.3">
      <c r="A173" s="34" t="s">
        <v>225</v>
      </c>
      <c r="B173" s="90" t="s">
        <v>103</v>
      </c>
      <c r="C173" s="83"/>
      <c r="D173" s="83" t="s">
        <v>11</v>
      </c>
      <c r="E173" s="83" t="s">
        <v>12</v>
      </c>
      <c r="F173" s="83" t="s">
        <v>13</v>
      </c>
      <c r="G173" s="6"/>
      <c r="H173" s="6"/>
      <c r="I173" s="32" t="b">
        <v>0</v>
      </c>
      <c r="J173" s="104" t="s">
        <v>342</v>
      </c>
      <c r="K173" s="103">
        <v>46238</v>
      </c>
      <c r="L173" s="103">
        <v>46246</v>
      </c>
      <c r="M173" s="103">
        <v>46260</v>
      </c>
      <c r="N173" s="103">
        <v>46266</v>
      </c>
    </row>
    <row r="174" spans="1:14" ht="21.4" x14ac:dyDescent="0.3">
      <c r="A174" s="34" t="s">
        <v>226</v>
      </c>
      <c r="B174" s="90" t="s">
        <v>103</v>
      </c>
      <c r="C174" s="83"/>
      <c r="D174" s="83" t="s">
        <v>11</v>
      </c>
      <c r="E174" s="83" t="s">
        <v>12</v>
      </c>
      <c r="F174" s="83" t="s">
        <v>13</v>
      </c>
      <c r="G174" s="6"/>
      <c r="H174" s="6"/>
      <c r="I174" s="32" t="b">
        <v>0</v>
      </c>
      <c r="J174" s="104" t="s">
        <v>342</v>
      </c>
      <c r="K174" s="103">
        <v>46238</v>
      </c>
      <c r="L174" s="103">
        <v>46246</v>
      </c>
      <c r="M174" s="103">
        <v>46260</v>
      </c>
      <c r="N174" s="103">
        <v>46266</v>
      </c>
    </row>
    <row r="175" spans="1:14" ht="21.4" x14ac:dyDescent="0.3">
      <c r="A175" s="34" t="s">
        <v>227</v>
      </c>
      <c r="B175" s="90" t="s">
        <v>103</v>
      </c>
      <c r="C175" s="83"/>
      <c r="D175" s="83" t="s">
        <v>11</v>
      </c>
      <c r="E175" s="83" t="s">
        <v>12</v>
      </c>
      <c r="F175" s="83" t="s">
        <v>13</v>
      </c>
      <c r="G175" s="6"/>
      <c r="H175" s="6"/>
      <c r="I175" s="32" t="b">
        <v>0</v>
      </c>
      <c r="J175" s="104" t="s">
        <v>342</v>
      </c>
      <c r="K175" s="103">
        <v>46238</v>
      </c>
      <c r="L175" s="103">
        <v>46246</v>
      </c>
      <c r="M175" s="103">
        <v>46260</v>
      </c>
      <c r="N175" s="103">
        <v>46266</v>
      </c>
    </row>
    <row r="176" spans="1:14" ht="21.4" x14ac:dyDescent="0.3">
      <c r="A176" s="34" t="s">
        <v>228</v>
      </c>
      <c r="B176" s="90" t="s">
        <v>103</v>
      </c>
      <c r="C176" s="83"/>
      <c r="D176" s="83" t="s">
        <v>11</v>
      </c>
      <c r="E176" s="83" t="s">
        <v>12</v>
      </c>
      <c r="F176" s="83" t="s">
        <v>13</v>
      </c>
      <c r="G176" s="6"/>
      <c r="H176" s="6"/>
      <c r="I176" s="32" t="b">
        <v>0</v>
      </c>
      <c r="J176" s="104" t="s">
        <v>341</v>
      </c>
      <c r="K176" s="103">
        <v>46224</v>
      </c>
      <c r="L176" s="103">
        <v>46231</v>
      </c>
      <c r="M176" s="103">
        <v>46246</v>
      </c>
      <c r="N176" s="103">
        <v>46252</v>
      </c>
    </row>
    <row r="177" spans="1:14" ht="21.4" x14ac:dyDescent="0.3">
      <c r="A177" s="34" t="s">
        <v>229</v>
      </c>
      <c r="B177" s="90" t="s">
        <v>103</v>
      </c>
      <c r="C177" s="83"/>
      <c r="D177" s="83" t="s">
        <v>11</v>
      </c>
      <c r="E177" s="83" t="s">
        <v>12</v>
      </c>
      <c r="F177" s="83" t="s">
        <v>13</v>
      </c>
      <c r="G177" s="6"/>
      <c r="H177" s="6"/>
      <c r="I177" s="32" t="b">
        <v>0</v>
      </c>
      <c r="J177" s="104" t="s">
        <v>341</v>
      </c>
      <c r="K177" s="103">
        <v>46224</v>
      </c>
      <c r="L177" s="103">
        <v>46231</v>
      </c>
      <c r="M177" s="103">
        <v>46246</v>
      </c>
      <c r="N177" s="103">
        <v>46252</v>
      </c>
    </row>
    <row r="178" spans="1:14" ht="21.4" x14ac:dyDescent="0.3">
      <c r="A178" s="34" t="s">
        <v>230</v>
      </c>
      <c r="B178" s="90" t="s">
        <v>103</v>
      </c>
      <c r="C178" s="83"/>
      <c r="D178" s="83" t="s">
        <v>11</v>
      </c>
      <c r="E178" s="83" t="s">
        <v>12</v>
      </c>
      <c r="F178" s="83" t="s">
        <v>13</v>
      </c>
      <c r="G178" s="6"/>
      <c r="H178" s="6"/>
      <c r="I178" s="32" t="b">
        <v>0</v>
      </c>
      <c r="J178" s="104" t="s">
        <v>341</v>
      </c>
      <c r="K178" s="103">
        <v>46224</v>
      </c>
      <c r="L178" s="103">
        <v>46231</v>
      </c>
      <c r="M178" s="103">
        <v>46246</v>
      </c>
      <c r="N178" s="103">
        <v>46252</v>
      </c>
    </row>
    <row r="179" spans="1:14" ht="21.4" x14ac:dyDescent="0.3">
      <c r="A179" s="34" t="s">
        <v>231</v>
      </c>
      <c r="B179" s="90" t="s">
        <v>103</v>
      </c>
      <c r="C179" s="83"/>
      <c r="D179" s="83" t="s">
        <v>11</v>
      </c>
      <c r="E179" s="83" t="s">
        <v>12</v>
      </c>
      <c r="F179" s="83" t="s">
        <v>13</v>
      </c>
      <c r="G179" s="6"/>
      <c r="H179" s="6"/>
      <c r="I179" s="32" t="b">
        <v>0</v>
      </c>
      <c r="J179" s="104" t="s">
        <v>341</v>
      </c>
      <c r="K179" s="103">
        <v>46224</v>
      </c>
      <c r="L179" s="103">
        <v>46231</v>
      </c>
      <c r="M179" s="103">
        <v>46246</v>
      </c>
      <c r="N179" s="103">
        <v>46252</v>
      </c>
    </row>
    <row r="180" spans="1:14" ht="21.4" x14ac:dyDescent="0.3">
      <c r="A180" s="34" t="s">
        <v>232</v>
      </c>
      <c r="B180" s="90" t="s">
        <v>103</v>
      </c>
      <c r="C180" s="83"/>
      <c r="D180" s="83" t="s">
        <v>11</v>
      </c>
      <c r="E180" s="83" t="s">
        <v>12</v>
      </c>
      <c r="F180" s="83" t="s">
        <v>13</v>
      </c>
      <c r="G180" s="6"/>
      <c r="H180" s="6"/>
      <c r="I180" s="32" t="b">
        <v>0</v>
      </c>
      <c r="J180" s="104" t="s">
        <v>341</v>
      </c>
      <c r="K180" s="103">
        <v>46224</v>
      </c>
      <c r="L180" s="103">
        <v>46231</v>
      </c>
      <c r="M180" s="103">
        <v>46246</v>
      </c>
      <c r="N180" s="103">
        <v>46252</v>
      </c>
    </row>
    <row r="181" spans="1:14" ht="21.4" x14ac:dyDescent="0.3">
      <c r="A181" s="34" t="s">
        <v>233</v>
      </c>
      <c r="B181" s="90" t="s">
        <v>103</v>
      </c>
      <c r="C181" s="83"/>
      <c r="D181" s="83" t="s">
        <v>11</v>
      </c>
      <c r="E181" s="83" t="s">
        <v>12</v>
      </c>
      <c r="F181" s="83" t="s">
        <v>13</v>
      </c>
      <c r="G181" s="6"/>
      <c r="H181" s="6"/>
      <c r="I181" s="32" t="b">
        <v>0</v>
      </c>
      <c r="J181" s="104" t="s">
        <v>341</v>
      </c>
      <c r="K181" s="103">
        <v>46224</v>
      </c>
      <c r="L181" s="103">
        <v>46231</v>
      </c>
      <c r="M181" s="103">
        <v>46246</v>
      </c>
      <c r="N181" s="103">
        <v>46252</v>
      </c>
    </row>
    <row r="182" spans="1:14" ht="21.4" x14ac:dyDescent="0.3">
      <c r="A182" s="34" t="s">
        <v>234</v>
      </c>
      <c r="B182" s="90" t="s">
        <v>103</v>
      </c>
      <c r="C182" s="83"/>
      <c r="D182" s="83" t="s">
        <v>11</v>
      </c>
      <c r="E182" s="83" t="s">
        <v>12</v>
      </c>
      <c r="F182" s="83" t="s">
        <v>13</v>
      </c>
      <c r="G182" s="6"/>
      <c r="H182" s="6"/>
      <c r="I182" s="32" t="b">
        <v>0</v>
      </c>
      <c r="J182" s="104" t="s">
        <v>341</v>
      </c>
      <c r="K182" s="103">
        <v>46224</v>
      </c>
      <c r="L182" s="103">
        <v>46231</v>
      </c>
      <c r="M182" s="103">
        <v>46246</v>
      </c>
      <c r="N182" s="103">
        <v>46252</v>
      </c>
    </row>
    <row r="183" spans="1:14" ht="21.4" x14ac:dyDescent="0.3">
      <c r="A183" s="34" t="s">
        <v>235</v>
      </c>
      <c r="B183" s="90" t="s">
        <v>103</v>
      </c>
      <c r="C183" s="83"/>
      <c r="D183" s="83" t="s">
        <v>11</v>
      </c>
      <c r="E183" s="83" t="s">
        <v>12</v>
      </c>
      <c r="F183" s="83" t="s">
        <v>13</v>
      </c>
      <c r="G183" s="6"/>
      <c r="H183" s="6"/>
      <c r="I183" s="32" t="b">
        <v>0</v>
      </c>
      <c r="J183" s="104" t="s">
        <v>341</v>
      </c>
      <c r="K183" s="103">
        <v>46224</v>
      </c>
      <c r="L183" s="103">
        <v>46231</v>
      </c>
      <c r="M183" s="103">
        <v>46246</v>
      </c>
      <c r="N183" s="103">
        <v>46252</v>
      </c>
    </row>
    <row r="184" spans="1:14" ht="21.4" x14ac:dyDescent="0.3">
      <c r="A184" s="34" t="s">
        <v>236</v>
      </c>
      <c r="B184" s="90" t="s">
        <v>103</v>
      </c>
      <c r="C184" s="83" t="s">
        <v>237</v>
      </c>
      <c r="D184" s="83" t="s">
        <v>11</v>
      </c>
      <c r="E184" s="83" t="s">
        <v>12</v>
      </c>
      <c r="F184" s="83" t="s">
        <v>13</v>
      </c>
      <c r="G184" s="6">
        <v>7.4999999999999997E-2</v>
      </c>
      <c r="H184" s="88">
        <v>46186</v>
      </c>
      <c r="I184" s="32" t="b">
        <v>1</v>
      </c>
      <c r="J184" s="104" t="s">
        <v>336</v>
      </c>
      <c r="K184" s="103">
        <v>46211</v>
      </c>
      <c r="L184" s="103">
        <v>46218</v>
      </c>
      <c r="M184" s="103">
        <v>46232</v>
      </c>
      <c r="N184" s="103">
        <v>46238</v>
      </c>
    </row>
    <row r="185" spans="1:14" ht="21.4" x14ac:dyDescent="0.3">
      <c r="A185" s="34" t="s">
        <v>238</v>
      </c>
      <c r="B185" s="90" t="s">
        <v>103</v>
      </c>
      <c r="C185" s="83" t="s">
        <v>239</v>
      </c>
      <c r="D185" s="83" t="s">
        <v>11</v>
      </c>
      <c r="E185" s="83" t="s">
        <v>12</v>
      </c>
      <c r="F185" s="83" t="s">
        <v>13</v>
      </c>
      <c r="G185" s="6">
        <v>6.7000000000000004E-2</v>
      </c>
      <c r="H185" s="88">
        <v>46186</v>
      </c>
      <c r="I185" s="32" t="b">
        <v>1</v>
      </c>
      <c r="J185" s="104" t="s">
        <v>336</v>
      </c>
      <c r="K185" s="103">
        <v>46211</v>
      </c>
      <c r="L185" s="103">
        <v>46218</v>
      </c>
      <c r="M185" s="103">
        <v>46232</v>
      </c>
      <c r="N185" s="103">
        <v>46238</v>
      </c>
    </row>
    <row r="186" spans="1:14" ht="21.4" x14ac:dyDescent="0.3">
      <c r="A186" s="34" t="s">
        <v>240</v>
      </c>
      <c r="B186" s="90" t="s">
        <v>103</v>
      </c>
      <c r="C186" s="83" t="s">
        <v>241</v>
      </c>
      <c r="D186" s="83" t="s">
        <v>11</v>
      </c>
      <c r="E186" s="83" t="s">
        <v>12</v>
      </c>
      <c r="F186" s="83" t="s">
        <v>13</v>
      </c>
      <c r="G186" s="6">
        <v>6.7000000000000004E-2</v>
      </c>
      <c r="H186" s="88">
        <v>46186</v>
      </c>
      <c r="I186" s="32" t="b">
        <v>1</v>
      </c>
      <c r="J186" s="104" t="s">
        <v>336</v>
      </c>
      <c r="K186" s="103">
        <v>46211</v>
      </c>
      <c r="L186" s="103">
        <v>46218</v>
      </c>
      <c r="M186" s="103">
        <v>46232</v>
      </c>
      <c r="N186" s="103">
        <v>46238</v>
      </c>
    </row>
    <row r="187" spans="1:14" ht="21.4" x14ac:dyDescent="0.3">
      <c r="A187" s="34" t="s">
        <v>242</v>
      </c>
      <c r="B187" s="90" t="s">
        <v>103</v>
      </c>
      <c r="C187" s="83" t="s">
        <v>243</v>
      </c>
      <c r="D187" s="83" t="s">
        <v>11</v>
      </c>
      <c r="E187" s="83" t="s">
        <v>12</v>
      </c>
      <c r="F187" s="83" t="s">
        <v>13</v>
      </c>
      <c r="G187" s="6">
        <v>6.6000000000000003E-2</v>
      </c>
      <c r="H187" s="88">
        <v>46186</v>
      </c>
      <c r="I187" s="32" t="b">
        <v>1</v>
      </c>
      <c r="J187" s="104" t="s">
        <v>336</v>
      </c>
      <c r="K187" s="103">
        <v>46211</v>
      </c>
      <c r="L187" s="103">
        <v>46218</v>
      </c>
      <c r="M187" s="103">
        <v>46232</v>
      </c>
      <c r="N187" s="103">
        <v>46238</v>
      </c>
    </row>
    <row r="188" spans="1:14" ht="21.4" x14ac:dyDescent="0.3">
      <c r="A188" s="34" t="s">
        <v>244</v>
      </c>
      <c r="B188" s="90" t="s">
        <v>103</v>
      </c>
      <c r="C188" s="83" t="s">
        <v>245</v>
      </c>
      <c r="D188" s="83" t="s">
        <v>11</v>
      </c>
      <c r="E188" s="83" t="s">
        <v>12</v>
      </c>
      <c r="F188" s="83" t="s">
        <v>13</v>
      </c>
      <c r="G188" s="6">
        <v>6.9000000000000006E-2</v>
      </c>
      <c r="H188" s="88">
        <v>46186</v>
      </c>
      <c r="I188" s="32" t="b">
        <v>1</v>
      </c>
      <c r="J188" s="104" t="s">
        <v>336</v>
      </c>
      <c r="K188" s="103">
        <v>46211</v>
      </c>
      <c r="L188" s="103">
        <v>46218</v>
      </c>
      <c r="M188" s="103">
        <v>46232</v>
      </c>
      <c r="N188" s="103">
        <v>46238</v>
      </c>
    </row>
    <row r="189" spans="1:14" ht="21.4" x14ac:dyDescent="0.3">
      <c r="A189" s="34" t="s">
        <v>246</v>
      </c>
      <c r="B189" s="90" t="s">
        <v>103</v>
      </c>
      <c r="C189" s="83" t="s">
        <v>247</v>
      </c>
      <c r="D189" s="83" t="s">
        <v>11</v>
      </c>
      <c r="E189" s="83" t="s">
        <v>12</v>
      </c>
      <c r="F189" s="83" t="s">
        <v>13</v>
      </c>
      <c r="G189" s="6">
        <v>6.8000000000000005E-2</v>
      </c>
      <c r="H189" s="88">
        <v>46186</v>
      </c>
      <c r="I189" s="32" t="b">
        <v>1</v>
      </c>
      <c r="J189" s="104" t="s">
        <v>336</v>
      </c>
      <c r="K189" s="103">
        <v>46211</v>
      </c>
      <c r="L189" s="103">
        <v>46218</v>
      </c>
      <c r="M189" s="103">
        <v>46232</v>
      </c>
      <c r="N189" s="103">
        <v>46238</v>
      </c>
    </row>
    <row r="190" spans="1:14" ht="21.4" x14ac:dyDescent="0.3">
      <c r="A190" s="34" t="s">
        <v>248</v>
      </c>
      <c r="B190" s="90" t="s">
        <v>103</v>
      </c>
      <c r="C190" s="83" t="s">
        <v>249</v>
      </c>
      <c r="D190" s="83" t="s">
        <v>11</v>
      </c>
      <c r="E190" s="83" t="s">
        <v>12</v>
      </c>
      <c r="F190" s="83" t="s">
        <v>13</v>
      </c>
      <c r="G190" s="6">
        <v>8.6999999999999994E-2</v>
      </c>
      <c r="H190" s="88">
        <v>46186</v>
      </c>
      <c r="I190" s="32" t="b">
        <v>1</v>
      </c>
      <c r="J190" s="104" t="s">
        <v>336</v>
      </c>
      <c r="K190" s="103">
        <v>46211</v>
      </c>
      <c r="L190" s="103">
        <v>46218</v>
      </c>
      <c r="M190" s="103">
        <v>46232</v>
      </c>
      <c r="N190" s="103">
        <v>46238</v>
      </c>
    </row>
    <row r="191" spans="1:14" ht="21.4" x14ac:dyDescent="0.3">
      <c r="A191" s="34" t="s">
        <v>250</v>
      </c>
      <c r="B191" s="90" t="s">
        <v>103</v>
      </c>
      <c r="C191" s="83" t="s">
        <v>251</v>
      </c>
      <c r="D191" s="83" t="s">
        <v>11</v>
      </c>
      <c r="E191" s="83" t="s">
        <v>12</v>
      </c>
      <c r="F191" s="83" t="s">
        <v>13</v>
      </c>
      <c r="G191" s="6">
        <v>6.9000000000000006E-2</v>
      </c>
      <c r="H191" s="88">
        <v>46186</v>
      </c>
      <c r="I191" s="32" t="b">
        <v>1</v>
      </c>
      <c r="J191" s="104" t="s">
        <v>336</v>
      </c>
      <c r="K191" s="103">
        <v>46211</v>
      </c>
      <c r="L191" s="103">
        <v>46218</v>
      </c>
      <c r="M191" s="103">
        <v>46232</v>
      </c>
      <c r="N191" s="103">
        <v>46238</v>
      </c>
    </row>
    <row r="192" spans="1:14" ht="21.4" x14ac:dyDescent="0.3">
      <c r="A192" s="6" t="s">
        <v>252</v>
      </c>
      <c r="B192" s="87" t="s">
        <v>127</v>
      </c>
      <c r="C192" s="83" t="s">
        <v>253</v>
      </c>
      <c r="D192" s="83" t="s">
        <v>11</v>
      </c>
      <c r="E192" s="83" t="s">
        <v>12</v>
      </c>
      <c r="F192" s="83" t="s">
        <v>254</v>
      </c>
      <c r="G192" s="6">
        <v>9.4E-2</v>
      </c>
      <c r="H192" s="88">
        <v>46171</v>
      </c>
      <c r="I192" s="32" t="b">
        <v>0</v>
      </c>
      <c r="J192" s="104" t="s">
        <v>332</v>
      </c>
      <c r="K192" s="103">
        <v>46134</v>
      </c>
      <c r="L192" s="103">
        <v>46142</v>
      </c>
      <c r="M192" s="103">
        <v>46157</v>
      </c>
      <c r="N192" s="103">
        <v>46163</v>
      </c>
    </row>
    <row r="193" spans="1:14" ht="21.4" x14ac:dyDescent="0.3">
      <c r="A193" s="6" t="s">
        <v>255</v>
      </c>
      <c r="B193" s="87" t="s">
        <v>127</v>
      </c>
      <c r="C193" s="83" t="s">
        <v>256</v>
      </c>
      <c r="D193" s="83" t="s">
        <v>11</v>
      </c>
      <c r="E193" s="83" t="s">
        <v>12</v>
      </c>
      <c r="F193" s="83" t="s">
        <v>257</v>
      </c>
      <c r="G193" s="6">
        <v>0.13100000000000001</v>
      </c>
      <c r="H193" s="88">
        <v>46136</v>
      </c>
      <c r="I193" s="32" t="b">
        <v>1</v>
      </c>
      <c r="J193" s="104" t="s">
        <v>332</v>
      </c>
      <c r="K193" s="103">
        <v>46134</v>
      </c>
      <c r="L193" s="103">
        <v>46142</v>
      </c>
      <c r="M193" s="103">
        <v>46157</v>
      </c>
      <c r="N193" s="103">
        <v>46163</v>
      </c>
    </row>
  </sheetData>
  <sortState xmlns:xlrd2="http://schemas.microsoft.com/office/spreadsheetml/2017/richdata2" ref="A2:N193">
    <sortCondition ref="A2:A193"/>
  </sortState>
  <phoneticPr fontId="8" type="noConversion"/>
  <conditionalFormatting sqref="C2:C63">
    <cfRule type="duplicateValues" dxfId="8" priority="2"/>
    <cfRule type="duplicateValues" dxfId="7" priority="5"/>
    <cfRule type="duplicateValues" dxfId="6" priority="6"/>
    <cfRule type="duplicateValues" dxfId="5" priority="7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9F803-2DDE-485F-989C-C0688D786923}">
  <dimension ref="A1:Q192"/>
  <sheetViews>
    <sheetView zoomScale="55" zoomScaleNormal="55" workbookViewId="0">
      <pane ySplit="1" topLeftCell="A2" activePane="bottomLeft" state="frozen"/>
      <selection pane="bottomLeft" activeCell="T3" sqref="T3"/>
    </sheetView>
  </sheetViews>
  <sheetFormatPr defaultRowHeight="13.5" x14ac:dyDescent="0.3"/>
  <cols>
    <col min="1" max="1" width="18.46484375" style="14" bestFit="1" customWidth="1"/>
    <col min="2" max="2" width="10.19921875" style="14" bestFit="1" customWidth="1"/>
    <col min="3" max="3" width="15.796875" style="14" bestFit="1" customWidth="1"/>
    <col min="4" max="4" width="16.59765625" style="14" bestFit="1" customWidth="1"/>
    <col min="5" max="5" width="16.73046875" style="14" bestFit="1" customWidth="1"/>
    <col min="6" max="6" width="16.59765625" style="14" bestFit="1" customWidth="1"/>
    <col min="7" max="7" width="20.73046875" style="14" bestFit="1" customWidth="1"/>
    <col min="8" max="8" width="21.3984375" style="14" bestFit="1" customWidth="1"/>
    <col min="9" max="9" width="18.19921875" style="14" bestFit="1" customWidth="1"/>
    <col min="10" max="10" width="28.19921875" bestFit="1" customWidth="1"/>
    <col min="11" max="11" width="30.06640625" style="14" bestFit="1" customWidth="1"/>
    <col min="12" max="12" width="19" bestFit="1" customWidth="1"/>
    <col min="13" max="13" width="25.265625" bestFit="1" customWidth="1"/>
    <col min="14" max="14" width="16.59765625" bestFit="1" customWidth="1"/>
    <col min="15" max="17" width="17" bestFit="1" customWidth="1"/>
  </cols>
  <sheetData>
    <row r="1" spans="1:17" ht="15.75" x14ac:dyDescent="0.3">
      <c r="A1" s="15" t="s">
        <v>0</v>
      </c>
      <c r="B1" s="15" t="s">
        <v>1</v>
      </c>
      <c r="C1" s="15" t="s">
        <v>258</v>
      </c>
      <c r="D1" s="15" t="s">
        <v>259</v>
      </c>
      <c r="E1" s="15" t="s">
        <v>3</v>
      </c>
      <c r="F1" s="15" t="s">
        <v>4</v>
      </c>
      <c r="G1" s="15" t="s">
        <v>260</v>
      </c>
      <c r="H1" s="15" t="s">
        <v>261</v>
      </c>
      <c r="I1" s="15" t="s">
        <v>262</v>
      </c>
      <c r="J1" s="23" t="s">
        <v>264</v>
      </c>
      <c r="K1" s="15" t="s">
        <v>263</v>
      </c>
      <c r="L1" s="63" t="s">
        <v>265</v>
      </c>
      <c r="M1" s="106" t="s">
        <v>330</v>
      </c>
      <c r="N1" s="106" t="s">
        <v>337</v>
      </c>
      <c r="O1" s="106" t="s">
        <v>339</v>
      </c>
      <c r="P1" s="106" t="s">
        <v>340</v>
      </c>
      <c r="Q1" s="106" t="s">
        <v>338</v>
      </c>
    </row>
    <row r="2" spans="1:17" ht="18.75" x14ac:dyDescent="0.3">
      <c r="A2" s="22" t="s">
        <v>157</v>
      </c>
      <c r="B2" s="38" t="s">
        <v>127</v>
      </c>
      <c r="C2" s="5">
        <v>14558067907</v>
      </c>
      <c r="D2" s="5">
        <v>71205556</v>
      </c>
      <c r="E2" s="5" t="s">
        <v>267</v>
      </c>
      <c r="F2" s="5" t="s">
        <v>268</v>
      </c>
      <c r="G2" s="5" t="s">
        <v>269</v>
      </c>
      <c r="H2" s="5" t="s">
        <v>275</v>
      </c>
      <c r="I2" s="31" t="s">
        <v>284</v>
      </c>
      <c r="J2" s="5">
        <v>0.53</v>
      </c>
      <c r="K2" s="13">
        <v>46193</v>
      </c>
      <c r="L2" s="20" t="b">
        <v>0</v>
      </c>
      <c r="M2" s="107" t="s">
        <v>331</v>
      </c>
      <c r="N2" s="108">
        <v>46125</v>
      </c>
      <c r="O2" s="108">
        <v>46132</v>
      </c>
      <c r="P2" s="108">
        <v>46148</v>
      </c>
      <c r="Q2" s="108">
        <v>46154</v>
      </c>
    </row>
    <row r="3" spans="1:17" ht="18.75" x14ac:dyDescent="0.3">
      <c r="A3" s="22" t="s">
        <v>160</v>
      </c>
      <c r="B3" s="38" t="s">
        <v>127</v>
      </c>
      <c r="C3" s="5">
        <v>14558067964</v>
      </c>
      <c r="D3" s="5">
        <v>71205556</v>
      </c>
      <c r="E3" s="5" t="s">
        <v>267</v>
      </c>
      <c r="F3" s="5" t="s">
        <v>268</v>
      </c>
      <c r="G3" s="5" t="s">
        <v>269</v>
      </c>
      <c r="H3" s="16" t="s">
        <v>278</v>
      </c>
      <c r="I3" s="31" t="s">
        <v>284</v>
      </c>
      <c r="J3" s="18">
        <v>0</v>
      </c>
      <c r="K3" s="13">
        <v>46193</v>
      </c>
      <c r="L3" s="20" t="b">
        <v>0</v>
      </c>
      <c r="M3" s="107" t="s">
        <v>331</v>
      </c>
      <c r="N3" s="108">
        <v>46125</v>
      </c>
      <c r="O3" s="108">
        <v>46132</v>
      </c>
      <c r="P3" s="108">
        <v>46148</v>
      </c>
      <c r="Q3" s="108">
        <v>46154</v>
      </c>
    </row>
    <row r="4" spans="1:17" ht="18.75" x14ac:dyDescent="0.3">
      <c r="A4" s="22" t="s">
        <v>163</v>
      </c>
      <c r="B4" s="38" t="s">
        <v>127</v>
      </c>
      <c r="C4" s="5">
        <v>14558069713</v>
      </c>
      <c r="D4" s="5">
        <v>71205556</v>
      </c>
      <c r="E4" s="5" t="s">
        <v>267</v>
      </c>
      <c r="F4" s="5" t="s">
        <v>268</v>
      </c>
      <c r="G4" s="5" t="s">
        <v>269</v>
      </c>
      <c r="H4" s="16" t="s">
        <v>278</v>
      </c>
      <c r="I4" s="26" t="s">
        <v>281</v>
      </c>
      <c r="J4" s="18">
        <v>0</v>
      </c>
      <c r="K4" s="13">
        <v>46193</v>
      </c>
      <c r="L4" s="20" t="b">
        <v>0</v>
      </c>
      <c r="M4" s="107" t="s">
        <v>331</v>
      </c>
      <c r="N4" s="108">
        <v>46125</v>
      </c>
      <c r="O4" s="108">
        <v>46132</v>
      </c>
      <c r="P4" s="108">
        <v>46148</v>
      </c>
      <c r="Q4" s="108">
        <v>46154</v>
      </c>
    </row>
    <row r="5" spans="1:17" ht="18.75" x14ac:dyDescent="0.3">
      <c r="A5" s="22" t="s">
        <v>166</v>
      </c>
      <c r="B5" s="38" t="s">
        <v>127</v>
      </c>
      <c r="C5" s="5">
        <v>14558069705</v>
      </c>
      <c r="D5" s="5">
        <v>71205556</v>
      </c>
      <c r="E5" s="5" t="s">
        <v>267</v>
      </c>
      <c r="F5" s="5" t="s">
        <v>268</v>
      </c>
      <c r="G5" s="5" t="s">
        <v>269</v>
      </c>
      <c r="H5" s="17" t="s">
        <v>277</v>
      </c>
      <c r="I5" s="26" t="s">
        <v>281</v>
      </c>
      <c r="J5" s="18">
        <v>0</v>
      </c>
      <c r="K5" s="13">
        <v>46193</v>
      </c>
      <c r="L5" s="20" t="b">
        <v>0</v>
      </c>
      <c r="M5" s="107" t="s">
        <v>331</v>
      </c>
      <c r="N5" s="108">
        <v>46125</v>
      </c>
      <c r="O5" s="108">
        <v>46132</v>
      </c>
      <c r="P5" s="108">
        <v>46148</v>
      </c>
      <c r="Q5" s="108">
        <v>46154</v>
      </c>
    </row>
    <row r="6" spans="1:17" ht="18.75" x14ac:dyDescent="0.3">
      <c r="A6" s="22" t="s">
        <v>169</v>
      </c>
      <c r="B6" s="38" t="s">
        <v>127</v>
      </c>
      <c r="C6" s="5">
        <v>14558069762</v>
      </c>
      <c r="D6" s="5">
        <v>71205556</v>
      </c>
      <c r="E6" s="5" t="s">
        <v>267</v>
      </c>
      <c r="F6" s="5" t="s">
        <v>268</v>
      </c>
      <c r="G6" s="5" t="s">
        <v>269</v>
      </c>
      <c r="H6" s="5" t="s">
        <v>275</v>
      </c>
      <c r="I6" s="26" t="s">
        <v>281</v>
      </c>
      <c r="J6" s="18">
        <v>0</v>
      </c>
      <c r="K6" s="13">
        <v>46193</v>
      </c>
      <c r="L6" s="20" t="b">
        <v>0</v>
      </c>
      <c r="M6" s="107" t="s">
        <v>331</v>
      </c>
      <c r="N6" s="108">
        <v>46125</v>
      </c>
      <c r="O6" s="108">
        <v>46132</v>
      </c>
      <c r="P6" s="108">
        <v>46148</v>
      </c>
      <c r="Q6" s="108">
        <v>46154</v>
      </c>
    </row>
    <row r="7" spans="1:17" ht="18.75" x14ac:dyDescent="0.3">
      <c r="A7" s="22" t="s">
        <v>172</v>
      </c>
      <c r="B7" s="38" t="s">
        <v>127</v>
      </c>
      <c r="C7" s="5">
        <v>14558069887</v>
      </c>
      <c r="D7" s="5">
        <v>71205556</v>
      </c>
      <c r="E7" s="5" t="s">
        <v>267</v>
      </c>
      <c r="F7" s="5" t="s">
        <v>268</v>
      </c>
      <c r="G7" s="5" t="s">
        <v>269</v>
      </c>
      <c r="H7" s="16" t="s">
        <v>278</v>
      </c>
      <c r="I7" s="26" t="s">
        <v>281</v>
      </c>
      <c r="J7" s="18">
        <v>0</v>
      </c>
      <c r="K7" s="13">
        <v>46193</v>
      </c>
      <c r="L7" s="20" t="b">
        <v>0</v>
      </c>
      <c r="M7" s="107" t="s">
        <v>331</v>
      </c>
      <c r="N7" s="108">
        <v>46125</v>
      </c>
      <c r="O7" s="108">
        <v>46132</v>
      </c>
      <c r="P7" s="108">
        <v>46148</v>
      </c>
      <c r="Q7" s="108">
        <v>46154</v>
      </c>
    </row>
    <row r="8" spans="1:17" ht="18.75" x14ac:dyDescent="0.3">
      <c r="A8" s="22" t="s">
        <v>175</v>
      </c>
      <c r="B8" s="38" t="s">
        <v>127</v>
      </c>
      <c r="C8" s="5">
        <v>14558068111</v>
      </c>
      <c r="D8" s="5">
        <v>71205556</v>
      </c>
      <c r="E8" s="5" t="s">
        <v>267</v>
      </c>
      <c r="F8" s="5" t="s">
        <v>268</v>
      </c>
      <c r="G8" s="5" t="s">
        <v>269</v>
      </c>
      <c r="H8" s="17" t="s">
        <v>277</v>
      </c>
      <c r="I8" s="25" t="s">
        <v>276</v>
      </c>
      <c r="J8" s="18">
        <v>0</v>
      </c>
      <c r="K8" s="13">
        <v>46193</v>
      </c>
      <c r="L8" s="20" t="b">
        <v>1</v>
      </c>
      <c r="M8" s="107" t="s">
        <v>331</v>
      </c>
      <c r="N8" s="108">
        <v>46125</v>
      </c>
      <c r="O8" s="108">
        <v>46132</v>
      </c>
      <c r="P8" s="108">
        <v>46148</v>
      </c>
      <c r="Q8" s="108">
        <v>46154</v>
      </c>
    </row>
    <row r="9" spans="1:17" ht="18.75" x14ac:dyDescent="0.3">
      <c r="A9" s="22" t="s">
        <v>178</v>
      </c>
      <c r="B9" s="38" t="s">
        <v>127</v>
      </c>
      <c r="C9" s="5">
        <v>14558068152</v>
      </c>
      <c r="D9" s="5">
        <v>71205556</v>
      </c>
      <c r="E9" s="5" t="s">
        <v>267</v>
      </c>
      <c r="F9" s="5" t="s">
        <v>268</v>
      </c>
      <c r="G9" s="5" t="s">
        <v>269</v>
      </c>
      <c r="H9" s="16" t="s">
        <v>278</v>
      </c>
      <c r="I9" s="25" t="s">
        <v>276</v>
      </c>
      <c r="J9" s="18">
        <v>0</v>
      </c>
      <c r="K9" s="13">
        <v>46193</v>
      </c>
      <c r="L9" s="20" t="b">
        <v>1</v>
      </c>
      <c r="M9" s="107" t="s">
        <v>331</v>
      </c>
      <c r="N9" s="108">
        <v>46125</v>
      </c>
      <c r="O9" s="108">
        <v>46132</v>
      </c>
      <c r="P9" s="108">
        <v>46148</v>
      </c>
      <c r="Q9" s="108">
        <v>46154</v>
      </c>
    </row>
    <row r="10" spans="1:17" ht="18.75" x14ac:dyDescent="0.3">
      <c r="A10" s="24" t="s">
        <v>299</v>
      </c>
      <c r="B10" s="39" t="s">
        <v>127</v>
      </c>
      <c r="C10" s="5">
        <v>98819618</v>
      </c>
      <c r="D10" s="5"/>
      <c r="E10" s="5" t="s">
        <v>300</v>
      </c>
      <c r="F10" s="5" t="s">
        <v>301</v>
      </c>
      <c r="G10" s="5" t="s">
        <v>302</v>
      </c>
      <c r="H10" s="5" t="s">
        <v>303</v>
      </c>
      <c r="I10" s="5"/>
      <c r="J10" s="18">
        <v>0</v>
      </c>
      <c r="K10" s="13">
        <v>46182</v>
      </c>
      <c r="L10" s="19" t="b">
        <v>0</v>
      </c>
      <c r="M10" s="107" t="s">
        <v>331</v>
      </c>
      <c r="N10" s="108">
        <v>46125</v>
      </c>
      <c r="O10" s="108">
        <v>46132</v>
      </c>
      <c r="P10" s="108">
        <v>46148</v>
      </c>
      <c r="Q10" s="108">
        <v>46154</v>
      </c>
    </row>
    <row r="11" spans="1:17" ht="18.75" x14ac:dyDescent="0.3">
      <c r="A11" s="22" t="s">
        <v>58</v>
      </c>
      <c r="B11" s="44" t="s">
        <v>16</v>
      </c>
      <c r="C11" s="5"/>
      <c r="D11" s="5">
        <v>82929684</v>
      </c>
      <c r="E11" s="5" t="s">
        <v>267</v>
      </c>
      <c r="F11" s="5" t="s">
        <v>268</v>
      </c>
      <c r="G11" s="5" t="s">
        <v>269</v>
      </c>
      <c r="H11" s="5"/>
      <c r="I11" s="51" t="s">
        <v>297</v>
      </c>
      <c r="J11" s="18">
        <v>0</v>
      </c>
      <c r="K11" s="5"/>
      <c r="L11" s="20" t="b">
        <v>0</v>
      </c>
      <c r="M11" s="107" t="s">
        <v>344</v>
      </c>
      <c r="N11" s="108">
        <v>46167</v>
      </c>
      <c r="O11" s="108">
        <v>46174</v>
      </c>
      <c r="P11" s="108">
        <v>46188</v>
      </c>
      <c r="Q11" s="108">
        <v>46195</v>
      </c>
    </row>
    <row r="12" spans="1:17" ht="18.75" x14ac:dyDescent="0.3">
      <c r="A12" s="22" t="s">
        <v>60</v>
      </c>
      <c r="B12" s="44" t="s">
        <v>16</v>
      </c>
      <c r="C12" s="5"/>
      <c r="D12" s="5">
        <v>82929684</v>
      </c>
      <c r="E12" s="5" t="s">
        <v>267</v>
      </c>
      <c r="F12" s="5" t="s">
        <v>268</v>
      </c>
      <c r="G12" s="5" t="s">
        <v>269</v>
      </c>
      <c r="H12" s="5"/>
      <c r="I12" s="52" t="s">
        <v>270</v>
      </c>
      <c r="J12" s="18">
        <v>0</v>
      </c>
      <c r="K12" s="5"/>
      <c r="L12" s="20" t="b">
        <v>0</v>
      </c>
      <c r="M12" s="107" t="s">
        <v>344</v>
      </c>
      <c r="N12" s="108">
        <v>46167</v>
      </c>
      <c r="O12" s="108">
        <v>46174</v>
      </c>
      <c r="P12" s="108">
        <v>46188</v>
      </c>
      <c r="Q12" s="108">
        <v>46195</v>
      </c>
    </row>
    <row r="13" spans="1:17" ht="18.75" x14ac:dyDescent="0.3">
      <c r="A13" s="22" t="s">
        <v>62</v>
      </c>
      <c r="B13" s="44" t="s">
        <v>16</v>
      </c>
      <c r="C13" s="5"/>
      <c r="D13" s="5">
        <v>82929684</v>
      </c>
      <c r="E13" s="5" t="s">
        <v>267</v>
      </c>
      <c r="F13" s="5" t="s">
        <v>268</v>
      </c>
      <c r="G13" s="5" t="s">
        <v>269</v>
      </c>
      <c r="H13" s="5"/>
      <c r="I13" s="52" t="s">
        <v>270</v>
      </c>
      <c r="J13" s="18">
        <v>0</v>
      </c>
      <c r="K13" s="5"/>
      <c r="L13" s="20" t="b">
        <v>0</v>
      </c>
      <c r="M13" s="107" t="s">
        <v>344</v>
      </c>
      <c r="N13" s="108">
        <v>46167</v>
      </c>
      <c r="O13" s="108">
        <v>46174</v>
      </c>
      <c r="P13" s="108">
        <v>46188</v>
      </c>
      <c r="Q13" s="108">
        <v>46195</v>
      </c>
    </row>
    <row r="14" spans="1:17" ht="18.75" x14ac:dyDescent="0.3">
      <c r="A14" s="22" t="s">
        <v>64</v>
      </c>
      <c r="B14" s="44" t="s">
        <v>16</v>
      </c>
      <c r="C14" s="5"/>
      <c r="D14" s="5">
        <v>82929684</v>
      </c>
      <c r="E14" s="5" t="s">
        <v>267</v>
      </c>
      <c r="F14" s="5" t="s">
        <v>268</v>
      </c>
      <c r="G14" s="5" t="s">
        <v>269</v>
      </c>
      <c r="H14" s="5"/>
      <c r="I14" s="52" t="s">
        <v>270</v>
      </c>
      <c r="J14" s="18">
        <v>0</v>
      </c>
      <c r="K14" s="5"/>
      <c r="L14" s="20" t="b">
        <v>0</v>
      </c>
      <c r="M14" s="107" t="s">
        <v>344</v>
      </c>
      <c r="N14" s="108">
        <v>46167</v>
      </c>
      <c r="O14" s="108">
        <v>46174</v>
      </c>
      <c r="P14" s="108">
        <v>46188</v>
      </c>
      <c r="Q14" s="108">
        <v>46195</v>
      </c>
    </row>
    <row r="15" spans="1:17" ht="18.75" x14ac:dyDescent="0.3">
      <c r="A15" s="22" t="s">
        <v>66</v>
      </c>
      <c r="B15" s="44" t="s">
        <v>16</v>
      </c>
      <c r="C15" s="5"/>
      <c r="D15" s="5">
        <v>82929684</v>
      </c>
      <c r="E15" s="5" t="s">
        <v>267</v>
      </c>
      <c r="F15" s="5" t="s">
        <v>268</v>
      </c>
      <c r="G15" s="5" t="s">
        <v>269</v>
      </c>
      <c r="H15" s="5"/>
      <c r="I15" s="39" t="s">
        <v>289</v>
      </c>
      <c r="J15" s="18">
        <v>0</v>
      </c>
      <c r="K15" s="5"/>
      <c r="L15" s="20" t="b">
        <v>0</v>
      </c>
      <c r="M15" s="107" t="s">
        <v>344</v>
      </c>
      <c r="N15" s="108">
        <v>46167</v>
      </c>
      <c r="O15" s="108">
        <v>46174</v>
      </c>
      <c r="P15" s="108">
        <v>46188</v>
      </c>
      <c r="Q15" s="108">
        <v>46195</v>
      </c>
    </row>
    <row r="16" spans="1:17" ht="18.75" x14ac:dyDescent="0.3">
      <c r="A16" s="22" t="s">
        <v>68</v>
      </c>
      <c r="B16" s="44" t="s">
        <v>16</v>
      </c>
      <c r="C16" s="5"/>
      <c r="D16" s="5">
        <v>82929684</v>
      </c>
      <c r="E16" s="5" t="s">
        <v>267</v>
      </c>
      <c r="F16" s="5" t="s">
        <v>268</v>
      </c>
      <c r="G16" s="5" t="s">
        <v>269</v>
      </c>
      <c r="H16" s="5"/>
      <c r="I16" s="39" t="s">
        <v>289</v>
      </c>
      <c r="J16" s="18">
        <v>0</v>
      </c>
      <c r="K16" s="5"/>
      <c r="L16" s="20" t="b">
        <v>0</v>
      </c>
      <c r="M16" s="107" t="s">
        <v>344</v>
      </c>
      <c r="N16" s="108">
        <v>46167</v>
      </c>
      <c r="O16" s="108">
        <v>46174</v>
      </c>
      <c r="P16" s="108">
        <v>46188</v>
      </c>
      <c r="Q16" s="108">
        <v>46195</v>
      </c>
    </row>
    <row r="17" spans="1:17" ht="18.75" x14ac:dyDescent="0.3">
      <c r="A17" s="22" t="s">
        <v>70</v>
      </c>
      <c r="B17" s="44" t="s">
        <v>16</v>
      </c>
      <c r="C17" s="5"/>
      <c r="D17" s="5">
        <v>82929684</v>
      </c>
      <c r="E17" s="5" t="s">
        <v>267</v>
      </c>
      <c r="F17" s="5" t="s">
        <v>268</v>
      </c>
      <c r="G17" s="5" t="s">
        <v>269</v>
      </c>
      <c r="H17" s="5"/>
      <c r="I17" s="39" t="s">
        <v>289</v>
      </c>
      <c r="J17" s="18">
        <v>0</v>
      </c>
      <c r="K17" s="5"/>
      <c r="L17" s="20" t="b">
        <v>0</v>
      </c>
      <c r="M17" s="107" t="s">
        <v>344</v>
      </c>
      <c r="N17" s="108">
        <v>46167</v>
      </c>
      <c r="O17" s="108">
        <v>46174</v>
      </c>
      <c r="P17" s="108">
        <v>46188</v>
      </c>
      <c r="Q17" s="108">
        <v>46195</v>
      </c>
    </row>
    <row r="18" spans="1:17" ht="18.75" x14ac:dyDescent="0.3">
      <c r="A18" s="22" t="s">
        <v>72</v>
      </c>
      <c r="B18" s="44" t="s">
        <v>16</v>
      </c>
      <c r="C18" s="5"/>
      <c r="D18" s="5">
        <v>82929684</v>
      </c>
      <c r="E18" s="5" t="s">
        <v>267</v>
      </c>
      <c r="F18" s="5" t="s">
        <v>268</v>
      </c>
      <c r="G18" s="5" t="s">
        <v>269</v>
      </c>
      <c r="H18" s="5"/>
      <c r="I18" s="39" t="s">
        <v>289</v>
      </c>
      <c r="J18" s="18">
        <v>0</v>
      </c>
      <c r="K18" s="5"/>
      <c r="L18" s="20" t="b">
        <v>0</v>
      </c>
      <c r="M18" s="107" t="s">
        <v>344</v>
      </c>
      <c r="N18" s="108">
        <v>46167</v>
      </c>
      <c r="O18" s="108">
        <v>46174</v>
      </c>
      <c r="P18" s="108">
        <v>46188</v>
      </c>
      <c r="Q18" s="108">
        <v>46195</v>
      </c>
    </row>
    <row r="19" spans="1:17" ht="18.75" x14ac:dyDescent="0.3">
      <c r="A19" s="22" t="s">
        <v>48</v>
      </c>
      <c r="B19" s="44" t="s">
        <v>16</v>
      </c>
      <c r="C19" s="5"/>
      <c r="D19" s="5">
        <v>82929684</v>
      </c>
      <c r="E19" s="5" t="s">
        <v>267</v>
      </c>
      <c r="F19" s="5" t="s">
        <v>268</v>
      </c>
      <c r="G19" s="5" t="s">
        <v>269</v>
      </c>
      <c r="H19" s="5"/>
      <c r="I19" s="50" t="s">
        <v>295</v>
      </c>
      <c r="J19" s="18">
        <v>0</v>
      </c>
      <c r="K19" s="5"/>
      <c r="L19" s="20" t="b">
        <v>0</v>
      </c>
      <c r="M19" s="107" t="s">
        <v>345</v>
      </c>
      <c r="N19" s="108">
        <v>46179</v>
      </c>
      <c r="O19" s="108">
        <v>46186</v>
      </c>
      <c r="P19" s="108">
        <v>46202</v>
      </c>
      <c r="Q19" s="108">
        <v>46207</v>
      </c>
    </row>
    <row r="20" spans="1:17" ht="18.75" x14ac:dyDescent="0.3">
      <c r="A20" s="22" t="s">
        <v>50</v>
      </c>
      <c r="B20" s="44" t="s">
        <v>16</v>
      </c>
      <c r="C20" s="5"/>
      <c r="D20" s="5">
        <v>82929684</v>
      </c>
      <c r="E20" s="5" t="s">
        <v>267</v>
      </c>
      <c r="F20" s="5" t="s">
        <v>268</v>
      </c>
      <c r="G20" s="5" t="s">
        <v>269</v>
      </c>
      <c r="H20" s="5"/>
      <c r="I20" s="50" t="s">
        <v>295</v>
      </c>
      <c r="J20" s="18">
        <v>0</v>
      </c>
      <c r="K20" s="5"/>
      <c r="L20" s="20" t="b">
        <v>0</v>
      </c>
      <c r="M20" s="107" t="s">
        <v>345</v>
      </c>
      <c r="N20" s="108">
        <v>46179</v>
      </c>
      <c r="O20" s="108">
        <v>46186</v>
      </c>
      <c r="P20" s="108">
        <v>46202</v>
      </c>
      <c r="Q20" s="108">
        <v>46207</v>
      </c>
    </row>
    <row r="21" spans="1:17" ht="18.75" x14ac:dyDescent="0.3">
      <c r="A21" s="22" t="s">
        <v>52</v>
      </c>
      <c r="B21" s="44" t="s">
        <v>16</v>
      </c>
      <c r="C21" s="5"/>
      <c r="D21" s="5">
        <v>82929684</v>
      </c>
      <c r="E21" s="5" t="s">
        <v>267</v>
      </c>
      <c r="F21" s="5" t="s">
        <v>268</v>
      </c>
      <c r="G21" s="5" t="s">
        <v>269</v>
      </c>
      <c r="H21" s="5"/>
      <c r="I21" s="51" t="s">
        <v>297</v>
      </c>
      <c r="J21" s="18">
        <v>0</v>
      </c>
      <c r="K21" s="5"/>
      <c r="L21" s="20" t="b">
        <v>0</v>
      </c>
      <c r="M21" s="107" t="s">
        <v>345</v>
      </c>
      <c r="N21" s="108">
        <v>46179</v>
      </c>
      <c r="O21" s="108">
        <v>46186</v>
      </c>
      <c r="P21" s="108">
        <v>46202</v>
      </c>
      <c r="Q21" s="108">
        <v>46207</v>
      </c>
    </row>
    <row r="22" spans="1:17" ht="18.75" x14ac:dyDescent="0.3">
      <c r="A22" s="22" t="s">
        <v>54</v>
      </c>
      <c r="B22" s="44" t="s">
        <v>16</v>
      </c>
      <c r="C22" s="5"/>
      <c r="D22" s="5">
        <v>82929684</v>
      </c>
      <c r="E22" s="5" t="s">
        <v>267</v>
      </c>
      <c r="F22" s="5" t="s">
        <v>268</v>
      </c>
      <c r="G22" s="5" t="s">
        <v>269</v>
      </c>
      <c r="H22" s="5"/>
      <c r="I22" s="51" t="s">
        <v>297</v>
      </c>
      <c r="J22" s="18">
        <v>0</v>
      </c>
      <c r="K22" s="5"/>
      <c r="L22" s="20" t="b">
        <v>0</v>
      </c>
      <c r="M22" s="107" t="s">
        <v>345</v>
      </c>
      <c r="N22" s="108">
        <v>46179</v>
      </c>
      <c r="O22" s="108">
        <v>46186</v>
      </c>
      <c r="P22" s="108">
        <v>46202</v>
      </c>
      <c r="Q22" s="108">
        <v>46207</v>
      </c>
    </row>
    <row r="23" spans="1:17" ht="18.75" x14ac:dyDescent="0.3">
      <c r="A23" s="22" t="s">
        <v>56</v>
      </c>
      <c r="B23" s="44" t="s">
        <v>16</v>
      </c>
      <c r="C23" s="5"/>
      <c r="D23" s="5">
        <v>82929684</v>
      </c>
      <c r="E23" s="5" t="s">
        <v>267</v>
      </c>
      <c r="F23" s="5" t="s">
        <v>268</v>
      </c>
      <c r="G23" s="5" t="s">
        <v>269</v>
      </c>
      <c r="H23" s="5"/>
      <c r="I23" s="51" t="s">
        <v>297</v>
      </c>
      <c r="J23" s="18">
        <v>0</v>
      </c>
      <c r="K23" s="5"/>
      <c r="L23" s="20" t="b">
        <v>0</v>
      </c>
      <c r="M23" s="107" t="s">
        <v>345</v>
      </c>
      <c r="N23" s="108">
        <v>46179</v>
      </c>
      <c r="O23" s="108">
        <v>46186</v>
      </c>
      <c r="P23" s="108">
        <v>46202</v>
      </c>
      <c r="Q23" s="108">
        <v>46207</v>
      </c>
    </row>
    <row r="24" spans="1:17" ht="18.75" x14ac:dyDescent="0.3">
      <c r="A24" s="22" t="s">
        <v>76</v>
      </c>
      <c r="B24" s="41" t="s">
        <v>10</v>
      </c>
      <c r="C24" s="5">
        <v>14558069341</v>
      </c>
      <c r="D24" s="5">
        <v>82929684</v>
      </c>
      <c r="E24" s="5" t="s">
        <v>267</v>
      </c>
      <c r="F24" s="5" t="s">
        <v>268</v>
      </c>
      <c r="G24" s="5" t="s">
        <v>269</v>
      </c>
      <c r="H24" s="17" t="s">
        <v>277</v>
      </c>
      <c r="I24" s="60" t="s">
        <v>286</v>
      </c>
      <c r="J24" s="18">
        <v>0</v>
      </c>
      <c r="K24" s="13">
        <v>46197</v>
      </c>
      <c r="L24" s="20" t="b">
        <v>0</v>
      </c>
      <c r="M24" s="107" t="s">
        <v>346</v>
      </c>
      <c r="N24" s="108">
        <v>46167</v>
      </c>
      <c r="O24" s="108">
        <v>46174</v>
      </c>
      <c r="P24" s="108">
        <v>46188</v>
      </c>
      <c r="Q24" s="108">
        <v>46195</v>
      </c>
    </row>
    <row r="25" spans="1:17" ht="18.75" x14ac:dyDescent="0.3">
      <c r="A25" s="22" t="s">
        <v>80</v>
      </c>
      <c r="B25" s="41" t="s">
        <v>10</v>
      </c>
      <c r="C25" s="5">
        <v>14558069200</v>
      </c>
      <c r="D25" s="5">
        <v>82929684</v>
      </c>
      <c r="E25" s="5" t="s">
        <v>267</v>
      </c>
      <c r="F25" s="5" t="s">
        <v>268</v>
      </c>
      <c r="G25" s="5" t="s">
        <v>269</v>
      </c>
      <c r="H25" s="16" t="s">
        <v>278</v>
      </c>
      <c r="I25" s="60" t="s">
        <v>286</v>
      </c>
      <c r="J25" s="18">
        <v>0</v>
      </c>
      <c r="K25" s="13">
        <v>46197</v>
      </c>
      <c r="L25" s="20" t="b">
        <v>0</v>
      </c>
      <c r="M25" s="107" t="s">
        <v>346</v>
      </c>
      <c r="N25" s="108">
        <v>46167</v>
      </c>
      <c r="O25" s="108">
        <v>46174</v>
      </c>
      <c r="P25" s="108">
        <v>46188</v>
      </c>
      <c r="Q25" s="108">
        <v>46195</v>
      </c>
    </row>
    <row r="26" spans="1:17" ht="18.75" x14ac:dyDescent="0.3">
      <c r="A26" s="22" t="s">
        <v>84</v>
      </c>
      <c r="B26" s="41" t="s">
        <v>10</v>
      </c>
      <c r="C26" s="5">
        <v>14558069168</v>
      </c>
      <c r="D26" s="5">
        <v>82929684</v>
      </c>
      <c r="E26" s="5" t="s">
        <v>267</v>
      </c>
      <c r="F26" s="5" t="s">
        <v>268</v>
      </c>
      <c r="G26" s="5" t="s">
        <v>269</v>
      </c>
      <c r="H26" s="5" t="s">
        <v>275</v>
      </c>
      <c r="I26" s="60" t="s">
        <v>286</v>
      </c>
      <c r="J26" s="18">
        <v>0</v>
      </c>
      <c r="K26" s="13">
        <v>46197</v>
      </c>
      <c r="L26" s="20" t="b">
        <v>0</v>
      </c>
      <c r="M26" s="107" t="s">
        <v>346</v>
      </c>
      <c r="N26" s="108">
        <v>46167</v>
      </c>
      <c r="O26" s="108">
        <v>46174</v>
      </c>
      <c r="P26" s="108">
        <v>46188</v>
      </c>
      <c r="Q26" s="108">
        <v>46195</v>
      </c>
    </row>
    <row r="27" spans="1:17" ht="18.75" x14ac:dyDescent="0.3">
      <c r="A27" s="22" t="s">
        <v>87</v>
      </c>
      <c r="B27" s="41" t="s">
        <v>10</v>
      </c>
      <c r="C27" s="5">
        <v>14558068244</v>
      </c>
      <c r="D27" s="5">
        <v>82929684</v>
      </c>
      <c r="E27" s="5" t="s">
        <v>267</v>
      </c>
      <c r="F27" s="5" t="s">
        <v>268</v>
      </c>
      <c r="G27" s="5" t="s">
        <v>269</v>
      </c>
      <c r="H27" s="16" t="s">
        <v>278</v>
      </c>
      <c r="I27" s="61" t="s">
        <v>283</v>
      </c>
      <c r="J27" s="18">
        <v>0</v>
      </c>
      <c r="K27" s="13">
        <v>46197</v>
      </c>
      <c r="L27" s="20" t="b">
        <v>0</v>
      </c>
      <c r="M27" s="107" t="s">
        <v>346</v>
      </c>
      <c r="N27" s="108">
        <v>46167</v>
      </c>
      <c r="O27" s="108">
        <v>46174</v>
      </c>
      <c r="P27" s="108">
        <v>46188</v>
      </c>
      <c r="Q27" s="108">
        <v>46195</v>
      </c>
    </row>
    <row r="28" spans="1:17" ht="18.75" x14ac:dyDescent="0.3">
      <c r="A28" s="22" t="s">
        <v>90</v>
      </c>
      <c r="B28" s="41" t="s">
        <v>10</v>
      </c>
      <c r="C28" s="5">
        <v>14558068228</v>
      </c>
      <c r="D28" s="5">
        <v>82929684</v>
      </c>
      <c r="E28" s="5" t="s">
        <v>267</v>
      </c>
      <c r="F28" s="5" t="s">
        <v>268</v>
      </c>
      <c r="G28" s="5" t="s">
        <v>269</v>
      </c>
      <c r="H28" s="16" t="s">
        <v>278</v>
      </c>
      <c r="I28" s="61" t="s">
        <v>283</v>
      </c>
      <c r="J28" s="18">
        <v>0</v>
      </c>
      <c r="K28" s="13">
        <v>46197</v>
      </c>
      <c r="L28" s="20" t="b">
        <v>0</v>
      </c>
      <c r="M28" s="107" t="s">
        <v>346</v>
      </c>
      <c r="N28" s="108">
        <v>46167</v>
      </c>
      <c r="O28" s="108">
        <v>46174</v>
      </c>
      <c r="P28" s="108">
        <v>46188</v>
      </c>
      <c r="Q28" s="108">
        <v>46195</v>
      </c>
    </row>
    <row r="29" spans="1:17" ht="18.75" x14ac:dyDescent="0.3">
      <c r="A29" s="22" t="s">
        <v>94</v>
      </c>
      <c r="B29" s="41" t="s">
        <v>10</v>
      </c>
      <c r="C29" s="5">
        <v>14558068442</v>
      </c>
      <c r="D29" s="5">
        <v>82929684</v>
      </c>
      <c r="E29" s="5" t="s">
        <v>267</v>
      </c>
      <c r="F29" s="5" t="s">
        <v>268</v>
      </c>
      <c r="G29" s="5" t="s">
        <v>269</v>
      </c>
      <c r="H29" s="16" t="s">
        <v>278</v>
      </c>
      <c r="I29" s="61" t="s">
        <v>283</v>
      </c>
      <c r="J29" s="18">
        <v>0</v>
      </c>
      <c r="K29" s="13">
        <v>46197</v>
      </c>
      <c r="L29" s="20" t="b">
        <v>0</v>
      </c>
      <c r="M29" s="107" t="s">
        <v>346</v>
      </c>
      <c r="N29" s="108">
        <v>46167</v>
      </c>
      <c r="O29" s="108">
        <v>46174</v>
      </c>
      <c r="P29" s="108">
        <v>46188</v>
      </c>
      <c r="Q29" s="108">
        <v>46195</v>
      </c>
    </row>
    <row r="30" spans="1:17" ht="18.75" x14ac:dyDescent="0.3">
      <c r="A30" s="22" t="s">
        <v>98</v>
      </c>
      <c r="B30" s="41" t="s">
        <v>10</v>
      </c>
      <c r="C30" s="5">
        <v>14558069317</v>
      </c>
      <c r="D30" s="5">
        <v>82929684</v>
      </c>
      <c r="E30" s="5" t="s">
        <v>267</v>
      </c>
      <c r="F30" s="5" t="s">
        <v>268</v>
      </c>
      <c r="G30" s="5" t="s">
        <v>269</v>
      </c>
      <c r="H30" s="5" t="s">
        <v>275</v>
      </c>
      <c r="I30" s="61" t="s">
        <v>283</v>
      </c>
      <c r="J30" s="18">
        <v>0</v>
      </c>
      <c r="K30" s="13">
        <v>46197</v>
      </c>
      <c r="L30" s="20" t="b">
        <v>0</v>
      </c>
      <c r="M30" s="107" t="s">
        <v>346</v>
      </c>
      <c r="N30" s="108">
        <v>46167</v>
      </c>
      <c r="O30" s="108">
        <v>46174</v>
      </c>
      <c r="P30" s="108">
        <v>46188</v>
      </c>
      <c r="Q30" s="108">
        <v>46195</v>
      </c>
    </row>
    <row r="31" spans="1:17" ht="18.75" x14ac:dyDescent="0.3">
      <c r="A31" s="22" t="s">
        <v>59</v>
      </c>
      <c r="B31" s="41" t="s">
        <v>10</v>
      </c>
      <c r="C31" s="5"/>
      <c r="D31" s="5">
        <v>82929684</v>
      </c>
      <c r="E31" s="5" t="s">
        <v>267</v>
      </c>
      <c r="F31" s="5" t="s">
        <v>268</v>
      </c>
      <c r="G31" s="5" t="s">
        <v>269</v>
      </c>
      <c r="H31" s="5"/>
      <c r="I31" s="52" t="s">
        <v>270</v>
      </c>
      <c r="J31" s="18">
        <v>0</v>
      </c>
      <c r="K31" s="5"/>
      <c r="L31" s="20" t="b">
        <v>0</v>
      </c>
      <c r="M31" s="107" t="s">
        <v>347</v>
      </c>
      <c r="N31" s="108">
        <v>46179</v>
      </c>
      <c r="O31" s="108">
        <v>46186</v>
      </c>
      <c r="P31" s="108">
        <v>46202</v>
      </c>
      <c r="Q31" s="108">
        <v>46207</v>
      </c>
    </row>
    <row r="32" spans="1:17" ht="18.75" x14ac:dyDescent="0.3">
      <c r="A32" s="22" t="s">
        <v>61</v>
      </c>
      <c r="B32" s="41" t="s">
        <v>10</v>
      </c>
      <c r="C32" s="5"/>
      <c r="D32" s="5">
        <v>82929684</v>
      </c>
      <c r="E32" s="5" t="s">
        <v>267</v>
      </c>
      <c r="F32" s="5" t="s">
        <v>268</v>
      </c>
      <c r="G32" s="5" t="s">
        <v>269</v>
      </c>
      <c r="H32" s="5"/>
      <c r="I32" s="52" t="s">
        <v>270</v>
      </c>
      <c r="J32" s="18">
        <v>0</v>
      </c>
      <c r="K32" s="5"/>
      <c r="L32" s="20" t="b">
        <v>0</v>
      </c>
      <c r="M32" s="107" t="s">
        <v>347</v>
      </c>
      <c r="N32" s="108">
        <v>46179</v>
      </c>
      <c r="O32" s="108">
        <v>46186</v>
      </c>
      <c r="P32" s="108">
        <v>46202</v>
      </c>
      <c r="Q32" s="108">
        <v>46207</v>
      </c>
    </row>
    <row r="33" spans="1:17" ht="18.75" x14ac:dyDescent="0.3">
      <c r="A33" s="22" t="s">
        <v>63</v>
      </c>
      <c r="B33" s="41" t="s">
        <v>10</v>
      </c>
      <c r="C33" s="5"/>
      <c r="D33" s="5">
        <v>82929684</v>
      </c>
      <c r="E33" s="5" t="s">
        <v>267</v>
      </c>
      <c r="F33" s="5" t="s">
        <v>268</v>
      </c>
      <c r="G33" s="5" t="s">
        <v>269</v>
      </c>
      <c r="H33" s="5"/>
      <c r="I33" s="52" t="s">
        <v>270</v>
      </c>
      <c r="J33" s="18">
        <v>0</v>
      </c>
      <c r="K33" s="5"/>
      <c r="L33" s="20" t="b">
        <v>0</v>
      </c>
      <c r="M33" s="107" t="s">
        <v>347</v>
      </c>
      <c r="N33" s="108">
        <v>46179</v>
      </c>
      <c r="O33" s="108">
        <v>46186</v>
      </c>
      <c r="P33" s="108">
        <v>46202</v>
      </c>
      <c r="Q33" s="108">
        <v>46207</v>
      </c>
    </row>
    <row r="34" spans="1:17" ht="18.75" x14ac:dyDescent="0.3">
      <c r="A34" s="22" t="s">
        <v>65</v>
      </c>
      <c r="B34" s="41" t="s">
        <v>10</v>
      </c>
      <c r="C34" s="5"/>
      <c r="D34" s="5">
        <v>82929684</v>
      </c>
      <c r="E34" s="5" t="s">
        <v>267</v>
      </c>
      <c r="F34" s="5" t="s">
        <v>268</v>
      </c>
      <c r="G34" s="5" t="s">
        <v>269</v>
      </c>
      <c r="H34" s="5"/>
      <c r="I34" s="39" t="s">
        <v>289</v>
      </c>
      <c r="J34" s="18">
        <v>0</v>
      </c>
      <c r="K34" s="5"/>
      <c r="L34" s="20" t="b">
        <v>0</v>
      </c>
      <c r="M34" s="107" t="s">
        <v>347</v>
      </c>
      <c r="N34" s="108">
        <v>46179</v>
      </c>
      <c r="O34" s="108">
        <v>46186</v>
      </c>
      <c r="P34" s="108">
        <v>46202</v>
      </c>
      <c r="Q34" s="108">
        <v>46207</v>
      </c>
    </row>
    <row r="35" spans="1:17" ht="18.75" x14ac:dyDescent="0.3">
      <c r="A35" s="22" t="s">
        <v>67</v>
      </c>
      <c r="B35" s="41" t="s">
        <v>10</v>
      </c>
      <c r="C35" s="5"/>
      <c r="D35" s="5">
        <v>82929684</v>
      </c>
      <c r="E35" s="5" t="s">
        <v>267</v>
      </c>
      <c r="F35" s="5" t="s">
        <v>268</v>
      </c>
      <c r="G35" s="5" t="s">
        <v>269</v>
      </c>
      <c r="H35" s="5"/>
      <c r="I35" s="39" t="s">
        <v>289</v>
      </c>
      <c r="J35" s="18">
        <v>0</v>
      </c>
      <c r="K35" s="5"/>
      <c r="L35" s="20" t="b">
        <v>0</v>
      </c>
      <c r="M35" s="107" t="s">
        <v>347</v>
      </c>
      <c r="N35" s="108">
        <v>46179</v>
      </c>
      <c r="O35" s="108">
        <v>46186</v>
      </c>
      <c r="P35" s="108">
        <v>46202</v>
      </c>
      <c r="Q35" s="108">
        <v>46207</v>
      </c>
    </row>
    <row r="36" spans="1:17" ht="18.75" x14ac:dyDescent="0.3">
      <c r="A36" s="22" t="s">
        <v>69</v>
      </c>
      <c r="B36" s="41" t="s">
        <v>10</v>
      </c>
      <c r="C36" s="5"/>
      <c r="D36" s="5">
        <v>82929684</v>
      </c>
      <c r="E36" s="5" t="s">
        <v>267</v>
      </c>
      <c r="F36" s="5" t="s">
        <v>268</v>
      </c>
      <c r="G36" s="5" t="s">
        <v>269</v>
      </c>
      <c r="H36" s="5"/>
      <c r="I36" s="39" t="s">
        <v>289</v>
      </c>
      <c r="J36" s="18">
        <v>0</v>
      </c>
      <c r="K36" s="5"/>
      <c r="L36" s="20" t="b">
        <v>0</v>
      </c>
      <c r="M36" s="107" t="s">
        <v>347</v>
      </c>
      <c r="N36" s="108">
        <v>46179</v>
      </c>
      <c r="O36" s="108">
        <v>46186</v>
      </c>
      <c r="P36" s="108">
        <v>46202</v>
      </c>
      <c r="Q36" s="108">
        <v>46207</v>
      </c>
    </row>
    <row r="37" spans="1:17" ht="18.75" x14ac:dyDescent="0.3">
      <c r="A37" s="22" t="s">
        <v>71</v>
      </c>
      <c r="B37" s="41" t="s">
        <v>10</v>
      </c>
      <c r="C37" s="5">
        <v>14558069093</v>
      </c>
      <c r="D37" s="5">
        <v>82929684</v>
      </c>
      <c r="E37" s="5" t="s">
        <v>267</v>
      </c>
      <c r="F37" s="5" t="s">
        <v>268</v>
      </c>
      <c r="G37" s="5" t="s">
        <v>269</v>
      </c>
      <c r="H37" s="16" t="s">
        <v>278</v>
      </c>
      <c r="I37" s="60" t="s">
        <v>286</v>
      </c>
      <c r="J37" s="18">
        <v>0</v>
      </c>
      <c r="K37" s="13">
        <v>46197</v>
      </c>
      <c r="L37" s="20" t="b">
        <v>0</v>
      </c>
      <c r="M37" s="107" t="s">
        <v>347</v>
      </c>
      <c r="N37" s="108">
        <v>46179</v>
      </c>
      <c r="O37" s="108">
        <v>46186</v>
      </c>
      <c r="P37" s="108">
        <v>46202</v>
      </c>
      <c r="Q37" s="108">
        <v>46207</v>
      </c>
    </row>
    <row r="38" spans="1:17" ht="18.75" x14ac:dyDescent="0.3">
      <c r="A38" s="22" t="s">
        <v>73</v>
      </c>
      <c r="B38" s="41" t="s">
        <v>10</v>
      </c>
      <c r="C38" s="5">
        <v>14558069242</v>
      </c>
      <c r="D38" s="5">
        <v>82929684</v>
      </c>
      <c r="E38" s="5" t="s">
        <v>267</v>
      </c>
      <c r="F38" s="5" t="s">
        <v>268</v>
      </c>
      <c r="G38" s="5" t="s">
        <v>269</v>
      </c>
      <c r="H38" s="5" t="s">
        <v>275</v>
      </c>
      <c r="I38" s="60" t="s">
        <v>286</v>
      </c>
      <c r="J38" s="18">
        <v>0</v>
      </c>
      <c r="K38" s="13">
        <v>46197</v>
      </c>
      <c r="L38" s="20" t="b">
        <v>0</v>
      </c>
      <c r="M38" s="107" t="s">
        <v>347</v>
      </c>
      <c r="N38" s="108">
        <v>46179</v>
      </c>
      <c r="O38" s="108">
        <v>46186</v>
      </c>
      <c r="P38" s="108">
        <v>46202</v>
      </c>
      <c r="Q38" s="108">
        <v>46207</v>
      </c>
    </row>
    <row r="39" spans="1:17" ht="18.75" x14ac:dyDescent="0.3">
      <c r="A39" s="22" t="s">
        <v>47</v>
      </c>
      <c r="B39" s="41" t="s">
        <v>10</v>
      </c>
      <c r="C39" s="5"/>
      <c r="D39" s="5">
        <v>82929684</v>
      </c>
      <c r="E39" s="5" t="s">
        <v>267</v>
      </c>
      <c r="F39" s="5" t="s">
        <v>268</v>
      </c>
      <c r="G39" s="5" t="s">
        <v>269</v>
      </c>
      <c r="H39" s="5"/>
      <c r="I39" s="50" t="s">
        <v>295</v>
      </c>
      <c r="J39" s="18">
        <v>0</v>
      </c>
      <c r="K39" s="5"/>
      <c r="L39" s="20" t="b">
        <v>0</v>
      </c>
      <c r="M39" s="107" t="s">
        <v>348</v>
      </c>
      <c r="N39" s="108">
        <v>46195</v>
      </c>
      <c r="O39" s="108">
        <v>46202</v>
      </c>
      <c r="P39" s="108">
        <v>46221</v>
      </c>
      <c r="Q39" s="108">
        <v>46221</v>
      </c>
    </row>
    <row r="40" spans="1:17" ht="18.75" x14ac:dyDescent="0.3">
      <c r="A40" s="22" t="s">
        <v>49</v>
      </c>
      <c r="B40" s="41" t="s">
        <v>10</v>
      </c>
      <c r="C40" s="5"/>
      <c r="D40" s="5">
        <v>82929684</v>
      </c>
      <c r="E40" s="5" t="s">
        <v>267</v>
      </c>
      <c r="F40" s="5" t="s">
        <v>268</v>
      </c>
      <c r="G40" s="5" t="s">
        <v>269</v>
      </c>
      <c r="H40" s="5"/>
      <c r="I40" s="50" t="s">
        <v>295</v>
      </c>
      <c r="J40" s="18">
        <v>0</v>
      </c>
      <c r="K40" s="5"/>
      <c r="L40" s="20" t="b">
        <v>0</v>
      </c>
      <c r="M40" s="107" t="s">
        <v>348</v>
      </c>
      <c r="N40" s="108">
        <v>46195</v>
      </c>
      <c r="O40" s="108">
        <v>46202</v>
      </c>
      <c r="P40" s="108">
        <v>46221</v>
      </c>
      <c r="Q40" s="108">
        <v>46221</v>
      </c>
    </row>
    <row r="41" spans="1:17" ht="18.75" x14ac:dyDescent="0.3">
      <c r="A41" s="22" t="s">
        <v>51</v>
      </c>
      <c r="B41" s="41" t="s">
        <v>10</v>
      </c>
      <c r="C41" s="5"/>
      <c r="D41" s="5">
        <v>82929684</v>
      </c>
      <c r="E41" s="5" t="s">
        <v>267</v>
      </c>
      <c r="F41" s="5" t="s">
        <v>268</v>
      </c>
      <c r="G41" s="5" t="s">
        <v>269</v>
      </c>
      <c r="H41" s="5"/>
      <c r="I41" s="51" t="s">
        <v>297</v>
      </c>
      <c r="J41" s="18">
        <v>0</v>
      </c>
      <c r="K41" s="5"/>
      <c r="L41" s="20" t="b">
        <v>0</v>
      </c>
      <c r="M41" s="107" t="s">
        <v>348</v>
      </c>
      <c r="N41" s="108">
        <v>46195</v>
      </c>
      <c r="O41" s="108">
        <v>46202</v>
      </c>
      <c r="P41" s="108">
        <v>46221</v>
      </c>
      <c r="Q41" s="108">
        <v>46221</v>
      </c>
    </row>
    <row r="42" spans="1:17" ht="18.75" x14ac:dyDescent="0.3">
      <c r="A42" s="22" t="s">
        <v>53</v>
      </c>
      <c r="B42" s="41" t="s">
        <v>10</v>
      </c>
      <c r="C42" s="5"/>
      <c r="D42" s="5">
        <v>82929684</v>
      </c>
      <c r="E42" s="5" t="s">
        <v>267</v>
      </c>
      <c r="F42" s="5" t="s">
        <v>268</v>
      </c>
      <c r="G42" s="5" t="s">
        <v>269</v>
      </c>
      <c r="H42" s="5"/>
      <c r="I42" s="51" t="s">
        <v>297</v>
      </c>
      <c r="J42" s="18">
        <v>0</v>
      </c>
      <c r="K42" s="5"/>
      <c r="L42" s="20" t="b">
        <v>0</v>
      </c>
      <c r="M42" s="107" t="s">
        <v>348</v>
      </c>
      <c r="N42" s="108">
        <v>46195</v>
      </c>
      <c r="O42" s="108">
        <v>46202</v>
      </c>
      <c r="P42" s="108">
        <v>46221</v>
      </c>
      <c r="Q42" s="108">
        <v>46221</v>
      </c>
    </row>
    <row r="43" spans="1:17" ht="18.75" x14ac:dyDescent="0.3">
      <c r="A43" s="22" t="s">
        <v>55</v>
      </c>
      <c r="B43" s="41" t="s">
        <v>10</v>
      </c>
      <c r="C43" s="5"/>
      <c r="D43" s="5">
        <v>82929684</v>
      </c>
      <c r="E43" s="5" t="s">
        <v>267</v>
      </c>
      <c r="F43" s="5" t="s">
        <v>268</v>
      </c>
      <c r="G43" s="5" t="s">
        <v>269</v>
      </c>
      <c r="H43" s="5"/>
      <c r="I43" s="51" t="s">
        <v>297</v>
      </c>
      <c r="J43" s="18">
        <v>0</v>
      </c>
      <c r="K43" s="5"/>
      <c r="L43" s="20" t="b">
        <v>0</v>
      </c>
      <c r="M43" s="107" t="s">
        <v>348</v>
      </c>
      <c r="N43" s="108">
        <v>46195</v>
      </c>
      <c r="O43" s="108">
        <v>46202</v>
      </c>
      <c r="P43" s="108">
        <v>46221</v>
      </c>
      <c r="Q43" s="108">
        <v>46221</v>
      </c>
    </row>
    <row r="44" spans="1:17" ht="18.75" x14ac:dyDescent="0.3">
      <c r="A44" s="22" t="s">
        <v>57</v>
      </c>
      <c r="B44" s="41" t="s">
        <v>10</v>
      </c>
      <c r="C44" s="5"/>
      <c r="D44" s="5">
        <v>82929684</v>
      </c>
      <c r="E44" s="5" t="s">
        <v>267</v>
      </c>
      <c r="F44" s="5" t="s">
        <v>268</v>
      </c>
      <c r="G44" s="5" t="s">
        <v>269</v>
      </c>
      <c r="H44" s="5"/>
      <c r="I44" s="51" t="s">
        <v>297</v>
      </c>
      <c r="J44" s="18">
        <v>0</v>
      </c>
      <c r="K44" s="5"/>
      <c r="L44" s="20" t="b">
        <v>0</v>
      </c>
      <c r="M44" s="107" t="s">
        <v>348</v>
      </c>
      <c r="N44" s="108">
        <v>46195</v>
      </c>
      <c r="O44" s="108">
        <v>46202</v>
      </c>
      <c r="P44" s="108">
        <v>46221</v>
      </c>
      <c r="Q44" s="108">
        <v>46221</v>
      </c>
    </row>
    <row r="45" spans="1:17" ht="18.75" x14ac:dyDescent="0.3">
      <c r="A45" s="22" t="s">
        <v>215</v>
      </c>
      <c r="B45" s="41" t="s">
        <v>10</v>
      </c>
      <c r="C45" s="5"/>
      <c r="D45" s="5">
        <v>82929702</v>
      </c>
      <c r="E45" s="5" t="s">
        <v>267</v>
      </c>
      <c r="F45" s="5" t="s">
        <v>268</v>
      </c>
      <c r="G45" s="5" t="s">
        <v>269</v>
      </c>
      <c r="H45" s="5"/>
      <c r="I45" s="54" t="s">
        <v>279</v>
      </c>
      <c r="J45" s="18">
        <v>0</v>
      </c>
      <c r="K45" s="5"/>
      <c r="L45" s="20" t="b">
        <v>0</v>
      </c>
      <c r="M45" s="107" t="s">
        <v>349</v>
      </c>
      <c r="N45" s="108">
        <v>46211</v>
      </c>
      <c r="O45" s="108">
        <v>46218</v>
      </c>
      <c r="P45" s="108">
        <v>46232</v>
      </c>
      <c r="Q45" s="108">
        <v>46238</v>
      </c>
    </row>
    <row r="46" spans="1:17" ht="18.75" x14ac:dyDescent="0.3">
      <c r="A46" s="22" t="s">
        <v>216</v>
      </c>
      <c r="B46" s="41" t="s">
        <v>10</v>
      </c>
      <c r="C46" s="5"/>
      <c r="D46" s="5">
        <v>82929702</v>
      </c>
      <c r="E46" s="5" t="s">
        <v>267</v>
      </c>
      <c r="F46" s="5" t="s">
        <v>268</v>
      </c>
      <c r="G46" s="5" t="s">
        <v>269</v>
      </c>
      <c r="H46" s="5"/>
      <c r="I46" s="54" t="s">
        <v>279</v>
      </c>
      <c r="J46" s="18">
        <v>0</v>
      </c>
      <c r="K46" s="5"/>
      <c r="L46" s="20" t="b">
        <v>0</v>
      </c>
      <c r="M46" s="107" t="s">
        <v>349</v>
      </c>
      <c r="N46" s="108">
        <v>46211</v>
      </c>
      <c r="O46" s="108">
        <v>46218</v>
      </c>
      <c r="P46" s="108">
        <v>46232</v>
      </c>
      <c r="Q46" s="108">
        <v>46238</v>
      </c>
    </row>
    <row r="47" spans="1:17" ht="18.75" x14ac:dyDescent="0.3">
      <c r="A47" s="22" t="s">
        <v>217</v>
      </c>
      <c r="B47" s="41" t="s">
        <v>10</v>
      </c>
      <c r="C47" s="5"/>
      <c r="D47" s="5">
        <v>82929702</v>
      </c>
      <c r="E47" s="5" t="s">
        <v>267</v>
      </c>
      <c r="F47" s="5" t="s">
        <v>268</v>
      </c>
      <c r="G47" s="5" t="s">
        <v>269</v>
      </c>
      <c r="H47" s="5"/>
      <c r="I47" s="54" t="s">
        <v>279</v>
      </c>
      <c r="J47" s="18">
        <v>0</v>
      </c>
      <c r="K47" s="5"/>
      <c r="L47" s="20" t="b">
        <v>0</v>
      </c>
      <c r="M47" s="107" t="s">
        <v>349</v>
      </c>
      <c r="N47" s="108">
        <v>46211</v>
      </c>
      <c r="O47" s="108">
        <v>46218</v>
      </c>
      <c r="P47" s="108">
        <v>46232</v>
      </c>
      <c r="Q47" s="108">
        <v>46238</v>
      </c>
    </row>
    <row r="48" spans="1:17" ht="18.75" x14ac:dyDescent="0.3">
      <c r="A48" s="22" t="s">
        <v>218</v>
      </c>
      <c r="B48" s="41" t="s">
        <v>10</v>
      </c>
      <c r="C48" s="5"/>
      <c r="D48" s="5">
        <v>82929702</v>
      </c>
      <c r="E48" s="5" t="s">
        <v>267</v>
      </c>
      <c r="F48" s="5" t="s">
        <v>268</v>
      </c>
      <c r="G48" s="5" t="s">
        <v>269</v>
      </c>
      <c r="H48" s="5"/>
      <c r="I48" s="54" t="s">
        <v>279</v>
      </c>
      <c r="J48" s="18">
        <v>0</v>
      </c>
      <c r="K48" s="5"/>
      <c r="L48" s="20" t="b">
        <v>0</v>
      </c>
      <c r="M48" s="107" t="s">
        <v>349</v>
      </c>
      <c r="N48" s="108">
        <v>46211</v>
      </c>
      <c r="O48" s="108">
        <v>46218</v>
      </c>
      <c r="P48" s="108">
        <v>46232</v>
      </c>
      <c r="Q48" s="108">
        <v>46238</v>
      </c>
    </row>
    <row r="49" spans="1:17" ht="18.75" x14ac:dyDescent="0.3">
      <c r="A49" s="22" t="s">
        <v>219</v>
      </c>
      <c r="B49" s="41" t="s">
        <v>10</v>
      </c>
      <c r="C49" s="5"/>
      <c r="D49" s="5">
        <v>82929702</v>
      </c>
      <c r="E49" s="5" t="s">
        <v>267</v>
      </c>
      <c r="F49" s="5" t="s">
        <v>268</v>
      </c>
      <c r="G49" s="5" t="s">
        <v>269</v>
      </c>
      <c r="H49" s="5"/>
      <c r="I49" s="54" t="s">
        <v>279</v>
      </c>
      <c r="J49" s="18">
        <v>0</v>
      </c>
      <c r="K49" s="5"/>
      <c r="L49" s="20" t="b">
        <v>0</v>
      </c>
      <c r="M49" s="107" t="s">
        <v>349</v>
      </c>
      <c r="N49" s="108">
        <v>46211</v>
      </c>
      <c r="O49" s="108">
        <v>46218</v>
      </c>
      <c r="P49" s="108">
        <v>46232</v>
      </c>
      <c r="Q49" s="108">
        <v>46238</v>
      </c>
    </row>
    <row r="50" spans="1:17" ht="18.75" x14ac:dyDescent="0.3">
      <c r="A50" s="22" t="s">
        <v>220</v>
      </c>
      <c r="B50" s="41" t="s">
        <v>10</v>
      </c>
      <c r="C50" s="5"/>
      <c r="D50" s="5">
        <v>82929702</v>
      </c>
      <c r="E50" s="5" t="s">
        <v>267</v>
      </c>
      <c r="F50" s="5" t="s">
        <v>268</v>
      </c>
      <c r="G50" s="5" t="s">
        <v>269</v>
      </c>
      <c r="H50" s="5"/>
      <c r="I50" s="54" t="s">
        <v>279</v>
      </c>
      <c r="J50" s="18">
        <v>0</v>
      </c>
      <c r="K50" s="5"/>
      <c r="L50" s="20" t="b">
        <v>0</v>
      </c>
      <c r="M50" s="107" t="s">
        <v>349</v>
      </c>
      <c r="N50" s="108">
        <v>46211</v>
      </c>
      <c r="O50" s="108">
        <v>46218</v>
      </c>
      <c r="P50" s="108">
        <v>46232</v>
      </c>
      <c r="Q50" s="108">
        <v>46238</v>
      </c>
    </row>
    <row r="51" spans="1:17" ht="18.75" x14ac:dyDescent="0.3">
      <c r="A51" s="22" t="s">
        <v>221</v>
      </c>
      <c r="B51" s="41" t="s">
        <v>10</v>
      </c>
      <c r="C51" s="5"/>
      <c r="D51" s="5">
        <v>82929702</v>
      </c>
      <c r="E51" s="5" t="s">
        <v>267</v>
      </c>
      <c r="F51" s="5" t="s">
        <v>268</v>
      </c>
      <c r="G51" s="5" t="s">
        <v>269</v>
      </c>
      <c r="H51" s="5"/>
      <c r="I51" s="54" t="s">
        <v>279</v>
      </c>
      <c r="J51" s="18">
        <v>0</v>
      </c>
      <c r="K51" s="5"/>
      <c r="L51" s="20" t="b">
        <v>0</v>
      </c>
      <c r="M51" s="107" t="s">
        <v>349</v>
      </c>
      <c r="N51" s="108">
        <v>46211</v>
      </c>
      <c r="O51" s="108">
        <v>46218</v>
      </c>
      <c r="P51" s="108">
        <v>46232</v>
      </c>
      <c r="Q51" s="108">
        <v>46238</v>
      </c>
    </row>
    <row r="52" spans="1:17" ht="18.75" x14ac:dyDescent="0.3">
      <c r="A52" s="22" t="s">
        <v>207</v>
      </c>
      <c r="B52" s="41" t="s">
        <v>10</v>
      </c>
      <c r="C52" s="5"/>
      <c r="D52" s="5">
        <v>82929702</v>
      </c>
      <c r="E52" s="5" t="s">
        <v>267</v>
      </c>
      <c r="F52" s="5" t="s">
        <v>268</v>
      </c>
      <c r="G52" s="5" t="s">
        <v>269</v>
      </c>
      <c r="H52" s="5"/>
      <c r="I52" s="53" t="s">
        <v>273</v>
      </c>
      <c r="J52" s="18">
        <v>0</v>
      </c>
      <c r="K52" s="5"/>
      <c r="L52" s="20" t="b">
        <v>0</v>
      </c>
      <c r="M52" s="107" t="s">
        <v>350</v>
      </c>
      <c r="N52" s="108">
        <v>46226</v>
      </c>
      <c r="O52" s="108">
        <v>46233</v>
      </c>
      <c r="P52" s="108">
        <v>46248</v>
      </c>
      <c r="Q52" s="108">
        <v>46254</v>
      </c>
    </row>
    <row r="53" spans="1:17" ht="18.75" x14ac:dyDescent="0.3">
      <c r="A53" s="22" t="s">
        <v>208</v>
      </c>
      <c r="B53" s="41" t="s">
        <v>10</v>
      </c>
      <c r="C53" s="5"/>
      <c r="D53" s="5">
        <v>82929702</v>
      </c>
      <c r="E53" s="5" t="s">
        <v>267</v>
      </c>
      <c r="F53" s="5" t="s">
        <v>268</v>
      </c>
      <c r="G53" s="5" t="s">
        <v>269</v>
      </c>
      <c r="H53" s="5"/>
      <c r="I53" s="53" t="s">
        <v>273</v>
      </c>
      <c r="J53" s="18">
        <v>0</v>
      </c>
      <c r="K53" s="5"/>
      <c r="L53" s="20" t="b">
        <v>0</v>
      </c>
      <c r="M53" s="107" t="s">
        <v>350</v>
      </c>
      <c r="N53" s="108">
        <v>46226</v>
      </c>
      <c r="O53" s="108">
        <v>46233</v>
      </c>
      <c r="P53" s="108">
        <v>46248</v>
      </c>
      <c r="Q53" s="108">
        <v>46254</v>
      </c>
    </row>
    <row r="54" spans="1:17" ht="18.75" x14ac:dyDescent="0.3">
      <c r="A54" s="22" t="s">
        <v>209</v>
      </c>
      <c r="B54" s="41" t="s">
        <v>10</v>
      </c>
      <c r="C54" s="5"/>
      <c r="D54" s="5">
        <v>82929702</v>
      </c>
      <c r="E54" s="5" t="s">
        <v>267</v>
      </c>
      <c r="F54" s="5" t="s">
        <v>268</v>
      </c>
      <c r="G54" s="5" t="s">
        <v>269</v>
      </c>
      <c r="H54" s="5"/>
      <c r="I54" s="53" t="s">
        <v>273</v>
      </c>
      <c r="J54" s="18">
        <v>0</v>
      </c>
      <c r="K54" s="5"/>
      <c r="L54" s="20" t="b">
        <v>0</v>
      </c>
      <c r="M54" s="107" t="s">
        <v>350</v>
      </c>
      <c r="N54" s="108">
        <v>46226</v>
      </c>
      <c r="O54" s="108">
        <v>46233</v>
      </c>
      <c r="P54" s="108">
        <v>46248</v>
      </c>
      <c r="Q54" s="108">
        <v>46254</v>
      </c>
    </row>
    <row r="55" spans="1:17" ht="18.75" x14ac:dyDescent="0.3">
      <c r="A55" s="22" t="s">
        <v>210</v>
      </c>
      <c r="B55" s="41" t="s">
        <v>10</v>
      </c>
      <c r="C55" s="5"/>
      <c r="D55" s="5">
        <v>82929702</v>
      </c>
      <c r="E55" s="5" t="s">
        <v>267</v>
      </c>
      <c r="F55" s="5" t="s">
        <v>268</v>
      </c>
      <c r="G55" s="5" t="s">
        <v>269</v>
      </c>
      <c r="H55" s="5"/>
      <c r="I55" s="53" t="s">
        <v>273</v>
      </c>
      <c r="J55" s="18">
        <v>0</v>
      </c>
      <c r="K55" s="5"/>
      <c r="L55" s="20" t="b">
        <v>0</v>
      </c>
      <c r="M55" s="107" t="s">
        <v>350</v>
      </c>
      <c r="N55" s="108">
        <v>46226</v>
      </c>
      <c r="O55" s="108">
        <v>46233</v>
      </c>
      <c r="P55" s="108">
        <v>46248</v>
      </c>
      <c r="Q55" s="108">
        <v>46254</v>
      </c>
    </row>
    <row r="56" spans="1:17" ht="18.75" x14ac:dyDescent="0.3">
      <c r="A56" s="22" t="s">
        <v>211</v>
      </c>
      <c r="B56" s="41" t="s">
        <v>10</v>
      </c>
      <c r="C56" s="5"/>
      <c r="D56" s="5">
        <v>82929702</v>
      </c>
      <c r="E56" s="5" t="s">
        <v>267</v>
      </c>
      <c r="F56" s="5" t="s">
        <v>268</v>
      </c>
      <c r="G56" s="5" t="s">
        <v>269</v>
      </c>
      <c r="H56" s="5"/>
      <c r="I56" s="53" t="s">
        <v>273</v>
      </c>
      <c r="J56" s="18">
        <v>0</v>
      </c>
      <c r="K56" s="5"/>
      <c r="L56" s="20" t="b">
        <v>0</v>
      </c>
      <c r="M56" s="107" t="s">
        <v>350</v>
      </c>
      <c r="N56" s="108">
        <v>46226</v>
      </c>
      <c r="O56" s="108">
        <v>46233</v>
      </c>
      <c r="P56" s="108">
        <v>46248</v>
      </c>
      <c r="Q56" s="108">
        <v>46254</v>
      </c>
    </row>
    <row r="57" spans="1:17" ht="18.75" x14ac:dyDescent="0.3">
      <c r="A57" s="22" t="s">
        <v>212</v>
      </c>
      <c r="B57" s="41" t="s">
        <v>10</v>
      </c>
      <c r="C57" s="5"/>
      <c r="D57" s="5">
        <v>82929702</v>
      </c>
      <c r="E57" s="5" t="s">
        <v>267</v>
      </c>
      <c r="F57" s="5" t="s">
        <v>268</v>
      </c>
      <c r="G57" s="5" t="s">
        <v>269</v>
      </c>
      <c r="H57" s="5"/>
      <c r="I57" s="53" t="s">
        <v>273</v>
      </c>
      <c r="J57" s="18">
        <v>0</v>
      </c>
      <c r="K57" s="5"/>
      <c r="L57" s="20" t="b">
        <v>0</v>
      </c>
      <c r="M57" s="107" t="s">
        <v>350</v>
      </c>
      <c r="N57" s="108">
        <v>46226</v>
      </c>
      <c r="O57" s="108">
        <v>46233</v>
      </c>
      <c r="P57" s="108">
        <v>46248</v>
      </c>
      <c r="Q57" s="108">
        <v>46254</v>
      </c>
    </row>
    <row r="58" spans="1:17" ht="18.75" x14ac:dyDescent="0.3">
      <c r="A58" s="22" t="s">
        <v>213</v>
      </c>
      <c r="B58" s="41" t="s">
        <v>10</v>
      </c>
      <c r="C58" s="5"/>
      <c r="D58" s="5">
        <v>82929702</v>
      </c>
      <c r="E58" s="5" t="s">
        <v>267</v>
      </c>
      <c r="F58" s="5" t="s">
        <v>268</v>
      </c>
      <c r="G58" s="5" t="s">
        <v>269</v>
      </c>
      <c r="H58" s="5"/>
      <c r="I58" s="53" t="s">
        <v>273</v>
      </c>
      <c r="J58" s="18">
        <v>0</v>
      </c>
      <c r="K58" s="5"/>
      <c r="L58" s="20" t="b">
        <v>0</v>
      </c>
      <c r="M58" s="107" t="s">
        <v>350</v>
      </c>
      <c r="N58" s="108">
        <v>46226</v>
      </c>
      <c r="O58" s="108">
        <v>46233</v>
      </c>
      <c r="P58" s="108">
        <v>46248</v>
      </c>
      <c r="Q58" s="108">
        <v>46254</v>
      </c>
    </row>
    <row r="59" spans="1:17" ht="18.75" x14ac:dyDescent="0.3">
      <c r="A59" s="22" t="s">
        <v>214</v>
      </c>
      <c r="B59" s="41" t="s">
        <v>10</v>
      </c>
      <c r="C59" s="5"/>
      <c r="D59" s="5">
        <v>82929702</v>
      </c>
      <c r="E59" s="5" t="s">
        <v>267</v>
      </c>
      <c r="F59" s="5" t="s">
        <v>268</v>
      </c>
      <c r="G59" s="5" t="s">
        <v>269</v>
      </c>
      <c r="H59" s="5"/>
      <c r="I59" s="53" t="s">
        <v>273</v>
      </c>
      <c r="J59" s="18">
        <v>0</v>
      </c>
      <c r="K59" s="5"/>
      <c r="L59" s="20" t="b">
        <v>0</v>
      </c>
      <c r="M59" s="107" t="s">
        <v>350</v>
      </c>
      <c r="N59" s="108">
        <v>46226</v>
      </c>
      <c r="O59" s="108">
        <v>46233</v>
      </c>
      <c r="P59" s="108">
        <v>46248</v>
      </c>
      <c r="Q59" s="108">
        <v>46254</v>
      </c>
    </row>
    <row r="60" spans="1:17" ht="18.75" x14ac:dyDescent="0.3">
      <c r="A60" s="22" t="s">
        <v>30</v>
      </c>
      <c r="B60" s="44" t="s">
        <v>16</v>
      </c>
      <c r="C60" s="5"/>
      <c r="D60" s="5">
        <v>82929702</v>
      </c>
      <c r="E60" s="5" t="s">
        <v>267</v>
      </c>
      <c r="F60" s="5" t="s">
        <v>268</v>
      </c>
      <c r="G60" s="5" t="s">
        <v>269</v>
      </c>
      <c r="H60" s="5"/>
      <c r="I60" s="62" t="s">
        <v>285</v>
      </c>
      <c r="J60" s="18">
        <v>0</v>
      </c>
      <c r="K60" s="5"/>
      <c r="L60" s="20" t="b">
        <v>0</v>
      </c>
      <c r="M60" s="107" t="s">
        <v>351</v>
      </c>
      <c r="N60" s="108">
        <v>46197</v>
      </c>
      <c r="O60" s="108">
        <v>46204</v>
      </c>
      <c r="P60" s="108">
        <v>46218</v>
      </c>
      <c r="Q60" s="108">
        <v>46224</v>
      </c>
    </row>
    <row r="61" spans="1:17" ht="18.75" x14ac:dyDescent="0.3">
      <c r="A61" s="22" t="s">
        <v>32</v>
      </c>
      <c r="B61" s="44" t="s">
        <v>16</v>
      </c>
      <c r="C61" s="5"/>
      <c r="D61" s="5">
        <v>82929702</v>
      </c>
      <c r="E61" s="5" t="s">
        <v>267</v>
      </c>
      <c r="F61" s="5" t="s">
        <v>268</v>
      </c>
      <c r="G61" s="5" t="s">
        <v>269</v>
      </c>
      <c r="H61" s="5"/>
      <c r="I61" s="56" t="s">
        <v>288</v>
      </c>
      <c r="J61" s="18">
        <v>0</v>
      </c>
      <c r="K61" s="5"/>
      <c r="L61" s="20" t="b">
        <v>0</v>
      </c>
      <c r="M61" s="107" t="s">
        <v>351</v>
      </c>
      <c r="N61" s="108">
        <v>46197</v>
      </c>
      <c r="O61" s="108">
        <v>46204</v>
      </c>
      <c r="P61" s="108">
        <v>46218</v>
      </c>
      <c r="Q61" s="108">
        <v>46224</v>
      </c>
    </row>
    <row r="62" spans="1:17" ht="18.75" x14ac:dyDescent="0.3">
      <c r="A62" s="22" t="s">
        <v>34</v>
      </c>
      <c r="B62" s="44" t="s">
        <v>16</v>
      </c>
      <c r="C62" s="5"/>
      <c r="D62" s="5">
        <v>82929702</v>
      </c>
      <c r="E62" s="5" t="s">
        <v>267</v>
      </c>
      <c r="F62" s="5" t="s">
        <v>268</v>
      </c>
      <c r="G62" s="5" t="s">
        <v>269</v>
      </c>
      <c r="H62" s="5"/>
      <c r="I62" s="56" t="s">
        <v>288</v>
      </c>
      <c r="J62" s="18">
        <v>0</v>
      </c>
      <c r="K62" s="5"/>
      <c r="L62" s="20" t="b">
        <v>0</v>
      </c>
      <c r="M62" s="107" t="s">
        <v>351</v>
      </c>
      <c r="N62" s="108">
        <v>46197</v>
      </c>
      <c r="O62" s="108">
        <v>46204</v>
      </c>
      <c r="P62" s="108">
        <v>46218</v>
      </c>
      <c r="Q62" s="108">
        <v>46224</v>
      </c>
    </row>
    <row r="63" spans="1:17" ht="18.75" x14ac:dyDescent="0.3">
      <c r="A63" s="22" t="s">
        <v>36</v>
      </c>
      <c r="B63" s="44" t="s">
        <v>16</v>
      </c>
      <c r="C63" s="5"/>
      <c r="D63" s="5">
        <v>82929702</v>
      </c>
      <c r="E63" s="5" t="s">
        <v>267</v>
      </c>
      <c r="F63" s="5" t="s">
        <v>268</v>
      </c>
      <c r="G63" s="5" t="s">
        <v>269</v>
      </c>
      <c r="H63" s="5"/>
      <c r="I63" s="56" t="s">
        <v>288</v>
      </c>
      <c r="J63" s="18">
        <v>0</v>
      </c>
      <c r="K63" s="5"/>
      <c r="L63" s="20" t="b">
        <v>0</v>
      </c>
      <c r="M63" s="107" t="s">
        <v>351</v>
      </c>
      <c r="N63" s="108">
        <v>46197</v>
      </c>
      <c r="O63" s="108">
        <v>46204</v>
      </c>
      <c r="P63" s="108">
        <v>46218</v>
      </c>
      <c r="Q63" s="108">
        <v>46224</v>
      </c>
    </row>
    <row r="64" spans="1:17" ht="18.75" x14ac:dyDescent="0.3">
      <c r="A64" s="22" t="s">
        <v>38</v>
      </c>
      <c r="B64" s="44" t="s">
        <v>16</v>
      </c>
      <c r="C64" s="5"/>
      <c r="D64" s="5">
        <v>82929702</v>
      </c>
      <c r="E64" s="5" t="s">
        <v>267</v>
      </c>
      <c r="F64" s="5" t="s">
        <v>268</v>
      </c>
      <c r="G64" s="5" t="s">
        <v>269</v>
      </c>
      <c r="H64" s="5"/>
      <c r="I64" s="57" t="s">
        <v>291</v>
      </c>
      <c r="J64" s="18">
        <v>0</v>
      </c>
      <c r="K64" s="5"/>
      <c r="L64" s="20" t="b">
        <v>0</v>
      </c>
      <c r="M64" s="107" t="s">
        <v>351</v>
      </c>
      <c r="N64" s="108">
        <v>46197</v>
      </c>
      <c r="O64" s="108">
        <v>46204</v>
      </c>
      <c r="P64" s="108">
        <v>46218</v>
      </c>
      <c r="Q64" s="108">
        <v>46224</v>
      </c>
    </row>
    <row r="65" spans="1:17" ht="18.75" x14ac:dyDescent="0.3">
      <c r="A65" s="22" t="s">
        <v>40</v>
      </c>
      <c r="B65" s="44" t="s">
        <v>16</v>
      </c>
      <c r="C65" s="5"/>
      <c r="D65" s="5">
        <v>82929702</v>
      </c>
      <c r="E65" s="5" t="s">
        <v>267</v>
      </c>
      <c r="F65" s="5" t="s">
        <v>268</v>
      </c>
      <c r="G65" s="5" t="s">
        <v>269</v>
      </c>
      <c r="H65" s="5"/>
      <c r="I65" s="57" t="s">
        <v>291</v>
      </c>
      <c r="J65" s="18">
        <v>0</v>
      </c>
      <c r="K65" s="5"/>
      <c r="L65" s="20" t="b">
        <v>0</v>
      </c>
      <c r="M65" s="107" t="s">
        <v>351</v>
      </c>
      <c r="N65" s="108">
        <v>46197</v>
      </c>
      <c r="O65" s="108">
        <v>46204</v>
      </c>
      <c r="P65" s="108">
        <v>46218</v>
      </c>
      <c r="Q65" s="108">
        <v>46224</v>
      </c>
    </row>
    <row r="66" spans="1:17" ht="18.75" x14ac:dyDescent="0.3">
      <c r="A66" s="22" t="s">
        <v>42</v>
      </c>
      <c r="B66" s="44" t="s">
        <v>16</v>
      </c>
      <c r="C66" s="5"/>
      <c r="D66" s="5">
        <v>82929702</v>
      </c>
      <c r="E66" s="5" t="s">
        <v>267</v>
      </c>
      <c r="F66" s="5" t="s">
        <v>268</v>
      </c>
      <c r="G66" s="5" t="s">
        <v>269</v>
      </c>
      <c r="H66" s="5"/>
      <c r="I66" s="57" t="s">
        <v>291</v>
      </c>
      <c r="J66" s="18">
        <v>0</v>
      </c>
      <c r="K66" s="5"/>
      <c r="L66" s="20" t="b">
        <v>0</v>
      </c>
      <c r="M66" s="107" t="s">
        <v>351</v>
      </c>
      <c r="N66" s="108">
        <v>46197</v>
      </c>
      <c r="O66" s="108">
        <v>46204</v>
      </c>
      <c r="P66" s="108">
        <v>46218</v>
      </c>
      <c r="Q66" s="108">
        <v>46224</v>
      </c>
    </row>
    <row r="67" spans="1:17" ht="18.75" x14ac:dyDescent="0.3">
      <c r="A67" s="22" t="s">
        <v>44</v>
      </c>
      <c r="B67" s="44" t="s">
        <v>16</v>
      </c>
      <c r="C67" s="5"/>
      <c r="D67" s="5">
        <v>82929702</v>
      </c>
      <c r="E67" s="5" t="s">
        <v>267</v>
      </c>
      <c r="F67" s="5" t="s">
        <v>268</v>
      </c>
      <c r="G67" s="5" t="s">
        <v>269</v>
      </c>
      <c r="H67" s="5"/>
      <c r="I67" s="57" t="s">
        <v>291</v>
      </c>
      <c r="J67" s="18">
        <v>0</v>
      </c>
      <c r="K67" s="5"/>
      <c r="L67" s="20" t="b">
        <v>0</v>
      </c>
      <c r="M67" s="107" t="s">
        <v>351</v>
      </c>
      <c r="N67" s="108">
        <v>46197</v>
      </c>
      <c r="O67" s="108">
        <v>46204</v>
      </c>
      <c r="P67" s="108">
        <v>46218</v>
      </c>
      <c r="Q67" s="108">
        <v>46224</v>
      </c>
    </row>
    <row r="68" spans="1:17" ht="18.75" x14ac:dyDescent="0.3">
      <c r="A68" s="22" t="s">
        <v>15</v>
      </c>
      <c r="B68" s="44" t="s">
        <v>16</v>
      </c>
      <c r="C68" s="5"/>
      <c r="D68" s="5">
        <v>82929702</v>
      </c>
      <c r="E68" s="5" t="s">
        <v>267</v>
      </c>
      <c r="F68" s="5" t="s">
        <v>268</v>
      </c>
      <c r="G68" s="5" t="s">
        <v>269</v>
      </c>
      <c r="H68" s="5"/>
      <c r="I68" s="55" t="s">
        <v>282</v>
      </c>
      <c r="J68" s="18">
        <v>0</v>
      </c>
      <c r="K68" s="5"/>
      <c r="L68" s="20" t="b">
        <v>0</v>
      </c>
      <c r="M68" s="107" t="s">
        <v>352</v>
      </c>
      <c r="N68" s="108">
        <v>46213</v>
      </c>
      <c r="O68" s="108">
        <v>46220</v>
      </c>
      <c r="P68" s="108">
        <v>46234</v>
      </c>
      <c r="Q68" s="108">
        <v>46240</v>
      </c>
    </row>
    <row r="69" spans="1:17" ht="18.75" x14ac:dyDescent="0.3">
      <c r="A69" s="22" t="s">
        <v>18</v>
      </c>
      <c r="B69" s="44" t="s">
        <v>16</v>
      </c>
      <c r="C69" s="5"/>
      <c r="D69" s="5">
        <v>82929702</v>
      </c>
      <c r="E69" s="5" t="s">
        <v>267</v>
      </c>
      <c r="F69" s="5" t="s">
        <v>268</v>
      </c>
      <c r="G69" s="5" t="s">
        <v>269</v>
      </c>
      <c r="H69" s="5"/>
      <c r="I69" s="55" t="s">
        <v>282</v>
      </c>
      <c r="J69" s="18">
        <v>0</v>
      </c>
      <c r="K69" s="5"/>
      <c r="L69" s="20" t="b">
        <v>0</v>
      </c>
      <c r="M69" s="107" t="s">
        <v>352</v>
      </c>
      <c r="N69" s="108">
        <v>46213</v>
      </c>
      <c r="O69" s="108">
        <v>46220</v>
      </c>
      <c r="P69" s="108">
        <v>46234</v>
      </c>
      <c r="Q69" s="108">
        <v>46240</v>
      </c>
    </row>
    <row r="70" spans="1:17" ht="18.75" x14ac:dyDescent="0.3">
      <c r="A70" s="22" t="s">
        <v>20</v>
      </c>
      <c r="B70" s="44" t="s">
        <v>16</v>
      </c>
      <c r="C70" s="5"/>
      <c r="D70" s="5">
        <v>82929702</v>
      </c>
      <c r="E70" s="5" t="s">
        <v>267</v>
      </c>
      <c r="F70" s="5" t="s">
        <v>268</v>
      </c>
      <c r="G70" s="5" t="s">
        <v>269</v>
      </c>
      <c r="H70" s="5"/>
      <c r="I70" s="55" t="s">
        <v>282</v>
      </c>
      <c r="J70" s="18">
        <v>0</v>
      </c>
      <c r="K70" s="5"/>
      <c r="L70" s="20" t="b">
        <v>0</v>
      </c>
      <c r="M70" s="107" t="s">
        <v>352</v>
      </c>
      <c r="N70" s="108">
        <v>46213</v>
      </c>
      <c r="O70" s="108">
        <v>46220</v>
      </c>
      <c r="P70" s="108">
        <v>46234</v>
      </c>
      <c r="Q70" s="108">
        <v>46240</v>
      </c>
    </row>
    <row r="71" spans="1:17" ht="18.75" x14ac:dyDescent="0.3">
      <c r="A71" s="22" t="s">
        <v>22</v>
      </c>
      <c r="B71" s="44" t="s">
        <v>16</v>
      </c>
      <c r="C71" s="5"/>
      <c r="D71" s="5">
        <v>82929702</v>
      </c>
      <c r="E71" s="5" t="s">
        <v>267</v>
      </c>
      <c r="F71" s="5" t="s">
        <v>268</v>
      </c>
      <c r="G71" s="5" t="s">
        <v>269</v>
      </c>
      <c r="H71" s="5"/>
      <c r="I71" s="55" t="s">
        <v>282</v>
      </c>
      <c r="J71" s="18">
        <v>0</v>
      </c>
      <c r="K71" s="5"/>
      <c r="L71" s="20" t="b">
        <v>0</v>
      </c>
      <c r="M71" s="107" t="s">
        <v>352</v>
      </c>
      <c r="N71" s="108">
        <v>46213</v>
      </c>
      <c r="O71" s="108">
        <v>46220</v>
      </c>
      <c r="P71" s="108">
        <v>46234</v>
      </c>
      <c r="Q71" s="108">
        <v>46240</v>
      </c>
    </row>
    <row r="72" spans="1:17" ht="18.75" x14ac:dyDescent="0.3">
      <c r="A72" s="22" t="s">
        <v>24</v>
      </c>
      <c r="B72" s="44" t="s">
        <v>16</v>
      </c>
      <c r="C72" s="5"/>
      <c r="D72" s="5">
        <v>82929702</v>
      </c>
      <c r="E72" s="5" t="s">
        <v>267</v>
      </c>
      <c r="F72" s="5" t="s">
        <v>268</v>
      </c>
      <c r="G72" s="5" t="s">
        <v>269</v>
      </c>
      <c r="H72" s="5"/>
      <c r="I72" s="62" t="s">
        <v>285</v>
      </c>
      <c r="J72" s="18">
        <v>0</v>
      </c>
      <c r="K72" s="5"/>
      <c r="L72" s="20" t="b">
        <v>0</v>
      </c>
      <c r="M72" s="107" t="s">
        <v>352</v>
      </c>
      <c r="N72" s="108">
        <v>46213</v>
      </c>
      <c r="O72" s="108">
        <v>46220</v>
      </c>
      <c r="P72" s="108">
        <v>46234</v>
      </c>
      <c r="Q72" s="108">
        <v>46240</v>
      </c>
    </row>
    <row r="73" spans="1:17" ht="18.75" x14ac:dyDescent="0.3">
      <c r="A73" s="22" t="s">
        <v>26</v>
      </c>
      <c r="B73" s="44" t="s">
        <v>16</v>
      </c>
      <c r="C73" s="5"/>
      <c r="D73" s="5">
        <v>82929702</v>
      </c>
      <c r="E73" s="5" t="s">
        <v>267</v>
      </c>
      <c r="F73" s="5" t="s">
        <v>268</v>
      </c>
      <c r="G73" s="5" t="s">
        <v>269</v>
      </c>
      <c r="H73" s="5"/>
      <c r="I73" s="62" t="s">
        <v>285</v>
      </c>
      <c r="J73" s="18">
        <v>0</v>
      </c>
      <c r="K73" s="5"/>
      <c r="L73" s="20" t="b">
        <v>0</v>
      </c>
      <c r="M73" s="107" t="s">
        <v>352</v>
      </c>
      <c r="N73" s="108">
        <v>46213</v>
      </c>
      <c r="O73" s="108">
        <v>46220</v>
      </c>
      <c r="P73" s="108">
        <v>46234</v>
      </c>
      <c r="Q73" s="108">
        <v>46240</v>
      </c>
    </row>
    <row r="74" spans="1:17" ht="18.75" x14ac:dyDescent="0.3">
      <c r="A74" s="22" t="s">
        <v>28</v>
      </c>
      <c r="B74" s="44" t="s">
        <v>16</v>
      </c>
      <c r="C74" s="5"/>
      <c r="D74" s="5">
        <v>82929702</v>
      </c>
      <c r="E74" s="5" t="s">
        <v>267</v>
      </c>
      <c r="F74" s="5" t="s">
        <v>268</v>
      </c>
      <c r="G74" s="5" t="s">
        <v>269</v>
      </c>
      <c r="H74" s="5"/>
      <c r="I74" s="62" t="s">
        <v>285</v>
      </c>
      <c r="J74" s="18">
        <v>0</v>
      </c>
      <c r="K74" s="5"/>
      <c r="L74" s="20" t="b">
        <v>0</v>
      </c>
      <c r="M74" s="107" t="s">
        <v>352</v>
      </c>
      <c r="N74" s="108">
        <v>46213</v>
      </c>
      <c r="O74" s="108">
        <v>46220</v>
      </c>
      <c r="P74" s="108">
        <v>46234</v>
      </c>
      <c r="Q74" s="108">
        <v>46240</v>
      </c>
    </row>
    <row r="75" spans="1:17" ht="18.75" x14ac:dyDescent="0.3">
      <c r="A75" s="22" t="s">
        <v>33</v>
      </c>
      <c r="B75" s="41" t="s">
        <v>10</v>
      </c>
      <c r="C75" s="5"/>
      <c r="D75" s="5">
        <v>82929702</v>
      </c>
      <c r="E75" s="5" t="s">
        <v>267</v>
      </c>
      <c r="F75" s="5" t="s">
        <v>268</v>
      </c>
      <c r="G75" s="5" t="s">
        <v>269</v>
      </c>
      <c r="H75" s="5"/>
      <c r="I75" s="56" t="s">
        <v>288</v>
      </c>
      <c r="J75" s="18">
        <v>0</v>
      </c>
      <c r="K75" s="5"/>
      <c r="L75" s="20" t="b">
        <v>0</v>
      </c>
      <c r="M75" s="107" t="s">
        <v>353</v>
      </c>
      <c r="N75" s="108">
        <v>46259</v>
      </c>
      <c r="O75" s="108">
        <v>46266</v>
      </c>
      <c r="P75" s="108">
        <v>46280</v>
      </c>
      <c r="Q75" s="108">
        <v>46286</v>
      </c>
    </row>
    <row r="76" spans="1:17" ht="18.75" x14ac:dyDescent="0.3">
      <c r="A76" s="22" t="s">
        <v>35</v>
      </c>
      <c r="B76" s="41" t="s">
        <v>10</v>
      </c>
      <c r="C76" s="5"/>
      <c r="D76" s="5">
        <v>82929702</v>
      </c>
      <c r="E76" s="5" t="s">
        <v>267</v>
      </c>
      <c r="F76" s="5" t="s">
        <v>268</v>
      </c>
      <c r="G76" s="5" t="s">
        <v>269</v>
      </c>
      <c r="H76" s="5"/>
      <c r="I76" s="56" t="s">
        <v>288</v>
      </c>
      <c r="J76" s="18">
        <v>0</v>
      </c>
      <c r="K76" s="5"/>
      <c r="L76" s="20" t="b">
        <v>0</v>
      </c>
      <c r="M76" s="107" t="s">
        <v>353</v>
      </c>
      <c r="N76" s="108">
        <v>46259</v>
      </c>
      <c r="O76" s="108">
        <v>46266</v>
      </c>
      <c r="P76" s="108">
        <v>46280</v>
      </c>
      <c r="Q76" s="108">
        <v>46286</v>
      </c>
    </row>
    <row r="77" spans="1:17" ht="18.75" x14ac:dyDescent="0.3">
      <c r="A77" s="22" t="s">
        <v>37</v>
      </c>
      <c r="B77" s="41" t="s">
        <v>10</v>
      </c>
      <c r="C77" s="5"/>
      <c r="D77" s="5">
        <v>82929702</v>
      </c>
      <c r="E77" s="5" t="s">
        <v>267</v>
      </c>
      <c r="F77" s="5" t="s">
        <v>268</v>
      </c>
      <c r="G77" s="5" t="s">
        <v>269</v>
      </c>
      <c r="H77" s="5"/>
      <c r="I77" s="56" t="s">
        <v>288</v>
      </c>
      <c r="J77" s="18">
        <v>0</v>
      </c>
      <c r="K77" s="5"/>
      <c r="L77" s="20" t="b">
        <v>0</v>
      </c>
      <c r="M77" s="107" t="s">
        <v>353</v>
      </c>
      <c r="N77" s="108">
        <v>46259</v>
      </c>
      <c r="O77" s="108">
        <v>46266</v>
      </c>
      <c r="P77" s="108">
        <v>46280</v>
      </c>
      <c r="Q77" s="108">
        <v>46286</v>
      </c>
    </row>
    <row r="78" spans="1:17" ht="18.75" x14ac:dyDescent="0.3">
      <c r="A78" s="22" t="s">
        <v>39</v>
      </c>
      <c r="B78" s="41" t="s">
        <v>10</v>
      </c>
      <c r="C78" s="5"/>
      <c r="D78" s="5">
        <v>82929702</v>
      </c>
      <c r="E78" s="5" t="s">
        <v>267</v>
      </c>
      <c r="F78" s="5" t="s">
        <v>268</v>
      </c>
      <c r="G78" s="5" t="s">
        <v>269</v>
      </c>
      <c r="H78" s="5"/>
      <c r="I78" s="57" t="s">
        <v>291</v>
      </c>
      <c r="J78" s="18">
        <v>0</v>
      </c>
      <c r="K78" s="5"/>
      <c r="L78" s="20" t="b">
        <v>0</v>
      </c>
      <c r="M78" s="107" t="s">
        <v>353</v>
      </c>
      <c r="N78" s="108">
        <v>46259</v>
      </c>
      <c r="O78" s="108">
        <v>46266</v>
      </c>
      <c r="P78" s="108">
        <v>46280</v>
      </c>
      <c r="Q78" s="108">
        <v>46286</v>
      </c>
    </row>
    <row r="79" spans="1:17" ht="18.75" x14ac:dyDescent="0.3">
      <c r="A79" s="22" t="s">
        <v>41</v>
      </c>
      <c r="B79" s="41" t="s">
        <v>10</v>
      </c>
      <c r="C79" s="5"/>
      <c r="D79" s="5">
        <v>82929702</v>
      </c>
      <c r="E79" s="5" t="s">
        <v>267</v>
      </c>
      <c r="F79" s="5" t="s">
        <v>268</v>
      </c>
      <c r="G79" s="5" t="s">
        <v>269</v>
      </c>
      <c r="H79" s="5"/>
      <c r="I79" s="57" t="s">
        <v>291</v>
      </c>
      <c r="J79" s="18">
        <v>0</v>
      </c>
      <c r="K79" s="5"/>
      <c r="L79" s="20" t="b">
        <v>0</v>
      </c>
      <c r="M79" s="107" t="s">
        <v>353</v>
      </c>
      <c r="N79" s="108">
        <v>46259</v>
      </c>
      <c r="O79" s="108">
        <v>46266</v>
      </c>
      <c r="P79" s="108">
        <v>46280</v>
      </c>
      <c r="Q79" s="108">
        <v>46286</v>
      </c>
    </row>
    <row r="80" spans="1:17" ht="18.75" x14ac:dyDescent="0.3">
      <c r="A80" s="22" t="s">
        <v>43</v>
      </c>
      <c r="B80" s="41" t="s">
        <v>10</v>
      </c>
      <c r="C80" s="5"/>
      <c r="D80" s="5">
        <v>82929702</v>
      </c>
      <c r="E80" s="5" t="s">
        <v>267</v>
      </c>
      <c r="F80" s="5" t="s">
        <v>268</v>
      </c>
      <c r="G80" s="5" t="s">
        <v>269</v>
      </c>
      <c r="H80" s="5"/>
      <c r="I80" s="57" t="s">
        <v>291</v>
      </c>
      <c r="J80" s="18">
        <v>0</v>
      </c>
      <c r="K80" s="5"/>
      <c r="L80" s="20" t="b">
        <v>0</v>
      </c>
      <c r="M80" s="107" t="s">
        <v>353</v>
      </c>
      <c r="N80" s="108">
        <v>46259</v>
      </c>
      <c r="O80" s="108">
        <v>46266</v>
      </c>
      <c r="P80" s="108">
        <v>46280</v>
      </c>
      <c r="Q80" s="108">
        <v>46286</v>
      </c>
    </row>
    <row r="81" spans="1:17" ht="18.75" x14ac:dyDescent="0.3">
      <c r="A81" s="22" t="s">
        <v>45</v>
      </c>
      <c r="B81" s="41" t="s">
        <v>10</v>
      </c>
      <c r="C81" s="5"/>
      <c r="D81" s="5">
        <v>82929702</v>
      </c>
      <c r="E81" s="5" t="s">
        <v>267</v>
      </c>
      <c r="F81" s="5" t="s">
        <v>268</v>
      </c>
      <c r="G81" s="5" t="s">
        <v>269</v>
      </c>
      <c r="H81" s="5"/>
      <c r="I81" s="57" t="s">
        <v>291</v>
      </c>
      <c r="J81" s="18">
        <v>0</v>
      </c>
      <c r="K81" s="5"/>
      <c r="L81" s="20" t="b">
        <v>0</v>
      </c>
      <c r="M81" s="107" t="s">
        <v>353</v>
      </c>
      <c r="N81" s="108">
        <v>46259</v>
      </c>
      <c r="O81" s="108">
        <v>46266</v>
      </c>
      <c r="P81" s="108">
        <v>46280</v>
      </c>
      <c r="Q81" s="108">
        <v>46286</v>
      </c>
    </row>
    <row r="82" spans="1:17" ht="18.75" x14ac:dyDescent="0.3">
      <c r="A82" s="22" t="s">
        <v>46</v>
      </c>
      <c r="B82" s="41" t="s">
        <v>10</v>
      </c>
      <c r="C82" s="5"/>
      <c r="D82" s="5">
        <v>82929702</v>
      </c>
      <c r="E82" s="5" t="s">
        <v>267</v>
      </c>
      <c r="F82" s="5" t="s">
        <v>268</v>
      </c>
      <c r="G82" s="5" t="s">
        <v>269</v>
      </c>
      <c r="H82" s="5"/>
      <c r="I82" s="57" t="s">
        <v>291</v>
      </c>
      <c r="J82" s="18">
        <v>0</v>
      </c>
      <c r="K82" s="5"/>
      <c r="L82" s="20" t="b">
        <v>0</v>
      </c>
      <c r="M82" s="107" t="s">
        <v>353</v>
      </c>
      <c r="N82" s="108">
        <v>46259</v>
      </c>
      <c r="O82" s="108">
        <v>46266</v>
      </c>
      <c r="P82" s="108">
        <v>46280</v>
      </c>
      <c r="Q82" s="108">
        <v>46286</v>
      </c>
    </row>
    <row r="83" spans="1:17" ht="18.75" x14ac:dyDescent="0.3">
      <c r="A83" s="22" t="s">
        <v>126</v>
      </c>
      <c r="B83" s="38" t="s">
        <v>127</v>
      </c>
      <c r="C83" s="105">
        <v>14558069796</v>
      </c>
      <c r="D83" s="5">
        <v>71205556</v>
      </c>
      <c r="E83" s="5" t="s">
        <v>267</v>
      </c>
      <c r="F83" s="5" t="s">
        <v>268</v>
      </c>
      <c r="G83" s="5" t="s">
        <v>269</v>
      </c>
      <c r="H83" s="5" t="s">
        <v>275</v>
      </c>
      <c r="I83" s="29" t="s">
        <v>290</v>
      </c>
      <c r="J83" s="5">
        <v>0.01</v>
      </c>
      <c r="K83" s="13">
        <v>46195</v>
      </c>
      <c r="L83" s="20" t="b">
        <v>1</v>
      </c>
      <c r="M83" s="107" t="s">
        <v>332</v>
      </c>
      <c r="N83" s="108">
        <v>46134</v>
      </c>
      <c r="O83" s="108">
        <v>46142</v>
      </c>
      <c r="P83" s="108">
        <v>46157</v>
      </c>
      <c r="Q83" s="108">
        <v>46163</v>
      </c>
    </row>
    <row r="84" spans="1:17" ht="18.75" x14ac:dyDescent="0.3">
      <c r="A84" s="22" t="s">
        <v>130</v>
      </c>
      <c r="B84" s="38" t="s">
        <v>127</v>
      </c>
      <c r="C84" s="5">
        <v>14558069945</v>
      </c>
      <c r="D84" s="5">
        <v>71205556</v>
      </c>
      <c r="E84" s="5" t="s">
        <v>267</v>
      </c>
      <c r="F84" s="5" t="s">
        <v>268</v>
      </c>
      <c r="G84" s="5" t="s">
        <v>269</v>
      </c>
      <c r="H84" s="16" t="s">
        <v>278</v>
      </c>
      <c r="I84" s="29" t="s">
        <v>290</v>
      </c>
      <c r="J84" s="5">
        <v>0</v>
      </c>
      <c r="K84" s="13">
        <v>46195</v>
      </c>
      <c r="L84" s="20" t="b">
        <v>1</v>
      </c>
      <c r="M84" s="107" t="s">
        <v>332</v>
      </c>
      <c r="N84" s="108">
        <v>46134</v>
      </c>
      <c r="O84" s="108">
        <v>46142</v>
      </c>
      <c r="P84" s="108">
        <v>46157</v>
      </c>
      <c r="Q84" s="108">
        <v>46163</v>
      </c>
    </row>
    <row r="85" spans="1:17" ht="18.75" x14ac:dyDescent="0.3">
      <c r="A85" s="22" t="s">
        <v>133</v>
      </c>
      <c r="B85" s="38" t="s">
        <v>127</v>
      </c>
      <c r="C85" s="5">
        <v>14558068194</v>
      </c>
      <c r="D85" s="5">
        <v>71205556</v>
      </c>
      <c r="E85" s="5" t="s">
        <v>267</v>
      </c>
      <c r="F85" s="5" t="s">
        <v>268</v>
      </c>
      <c r="G85" s="5" t="s">
        <v>269</v>
      </c>
      <c r="H85" s="5" t="s">
        <v>275</v>
      </c>
      <c r="I85" s="30" t="s">
        <v>287</v>
      </c>
      <c r="J85" s="5">
        <v>1.0900000000000001</v>
      </c>
      <c r="K85" s="13">
        <v>46195</v>
      </c>
      <c r="L85" s="20" t="b">
        <v>1</v>
      </c>
      <c r="M85" s="107" t="s">
        <v>332</v>
      </c>
      <c r="N85" s="108">
        <v>46134</v>
      </c>
      <c r="O85" s="108">
        <v>46142</v>
      </c>
      <c r="P85" s="108">
        <v>46157</v>
      </c>
      <c r="Q85" s="108">
        <v>46163</v>
      </c>
    </row>
    <row r="86" spans="1:17" ht="18.75" x14ac:dyDescent="0.3">
      <c r="A86" s="22" t="s">
        <v>136</v>
      </c>
      <c r="B86" s="38" t="s">
        <v>127</v>
      </c>
      <c r="C86" s="5">
        <v>14558068178</v>
      </c>
      <c r="D86" s="5">
        <v>71205556</v>
      </c>
      <c r="E86" s="5" t="s">
        <v>267</v>
      </c>
      <c r="F86" s="5" t="s">
        <v>268</v>
      </c>
      <c r="G86" s="5" t="s">
        <v>269</v>
      </c>
      <c r="H86" s="16" t="s">
        <v>278</v>
      </c>
      <c r="I86" s="30" t="s">
        <v>287</v>
      </c>
      <c r="J86" s="5">
        <v>1.1100000000000001</v>
      </c>
      <c r="K86" s="13">
        <v>46195</v>
      </c>
      <c r="L86" s="20" t="b">
        <v>1</v>
      </c>
      <c r="M86" s="107" t="s">
        <v>332</v>
      </c>
      <c r="N86" s="108">
        <v>46134</v>
      </c>
      <c r="O86" s="108">
        <v>46142</v>
      </c>
      <c r="P86" s="108">
        <v>46157</v>
      </c>
      <c r="Q86" s="108">
        <v>46163</v>
      </c>
    </row>
    <row r="87" spans="1:17" ht="18.75" x14ac:dyDescent="0.3">
      <c r="A87" s="22" t="s">
        <v>139</v>
      </c>
      <c r="B87" s="38" t="s">
        <v>127</v>
      </c>
      <c r="C87" s="5">
        <v>14558068160</v>
      </c>
      <c r="D87" s="5">
        <v>71205556</v>
      </c>
      <c r="E87" s="5" t="s">
        <v>267</v>
      </c>
      <c r="F87" s="5" t="s">
        <v>268</v>
      </c>
      <c r="G87" s="5" t="s">
        <v>269</v>
      </c>
      <c r="H87" s="17" t="s">
        <v>277</v>
      </c>
      <c r="I87" s="30" t="s">
        <v>287</v>
      </c>
      <c r="J87" s="5">
        <v>0.38</v>
      </c>
      <c r="K87" s="13">
        <v>46195</v>
      </c>
      <c r="L87" s="20" t="b">
        <v>1</v>
      </c>
      <c r="M87" s="107" t="s">
        <v>332</v>
      </c>
      <c r="N87" s="108">
        <v>46134</v>
      </c>
      <c r="O87" s="108">
        <v>46142</v>
      </c>
      <c r="P87" s="108">
        <v>46157</v>
      </c>
      <c r="Q87" s="108">
        <v>46163</v>
      </c>
    </row>
    <row r="88" spans="1:17" ht="18.75" x14ac:dyDescent="0.3">
      <c r="A88" s="22" t="s">
        <v>142</v>
      </c>
      <c r="B88" s="38" t="s">
        <v>127</v>
      </c>
      <c r="C88" s="5">
        <v>14558068285</v>
      </c>
      <c r="D88" s="5">
        <v>71205556</v>
      </c>
      <c r="E88" s="5" t="s">
        <v>267</v>
      </c>
      <c r="F88" s="5" t="s">
        <v>268</v>
      </c>
      <c r="G88" s="5" t="s">
        <v>269</v>
      </c>
      <c r="H88" s="5" t="s">
        <v>275</v>
      </c>
      <c r="I88" s="30" t="s">
        <v>287</v>
      </c>
      <c r="J88" s="5">
        <v>1.37</v>
      </c>
      <c r="K88" s="13">
        <v>46195</v>
      </c>
      <c r="L88" s="20" t="b">
        <v>1</v>
      </c>
      <c r="M88" s="107" t="s">
        <v>332</v>
      </c>
      <c r="N88" s="108">
        <v>46134</v>
      </c>
      <c r="O88" s="108">
        <v>46142</v>
      </c>
      <c r="P88" s="108">
        <v>46157</v>
      </c>
      <c r="Q88" s="108">
        <v>46163</v>
      </c>
    </row>
    <row r="89" spans="1:17" ht="18.75" x14ac:dyDescent="0.3">
      <c r="A89" s="22" t="s">
        <v>145</v>
      </c>
      <c r="B89" s="38" t="s">
        <v>127</v>
      </c>
      <c r="C89" s="5">
        <v>14558068301</v>
      </c>
      <c r="D89" s="5">
        <v>71205556</v>
      </c>
      <c r="E89" s="5" t="s">
        <v>267</v>
      </c>
      <c r="F89" s="5" t="s">
        <v>268</v>
      </c>
      <c r="G89" s="5" t="s">
        <v>269</v>
      </c>
      <c r="H89" s="16" t="s">
        <v>278</v>
      </c>
      <c r="I89" s="30" t="s">
        <v>287</v>
      </c>
      <c r="J89" s="5">
        <v>1.63</v>
      </c>
      <c r="K89" s="13">
        <v>46195</v>
      </c>
      <c r="L89" s="20" t="b">
        <v>1</v>
      </c>
      <c r="M89" s="107" t="s">
        <v>332</v>
      </c>
      <c r="N89" s="108">
        <v>46134</v>
      </c>
      <c r="O89" s="108">
        <v>46142</v>
      </c>
      <c r="P89" s="108">
        <v>46157</v>
      </c>
      <c r="Q89" s="108">
        <v>46163</v>
      </c>
    </row>
    <row r="90" spans="1:17" ht="18.75" x14ac:dyDescent="0.3">
      <c r="A90" s="22" t="s">
        <v>148</v>
      </c>
      <c r="B90" s="38" t="s">
        <v>127</v>
      </c>
      <c r="C90" s="5">
        <v>14558067899</v>
      </c>
      <c r="D90" s="5">
        <v>71205556</v>
      </c>
      <c r="E90" s="5" t="s">
        <v>267</v>
      </c>
      <c r="F90" s="5" t="s">
        <v>268</v>
      </c>
      <c r="G90" s="5" t="s">
        <v>269</v>
      </c>
      <c r="H90" s="5" t="s">
        <v>275</v>
      </c>
      <c r="I90" s="31" t="s">
        <v>284</v>
      </c>
      <c r="J90" s="5">
        <v>0.02</v>
      </c>
      <c r="K90" s="13">
        <v>46193</v>
      </c>
      <c r="L90" s="20" t="b">
        <v>0</v>
      </c>
      <c r="M90" s="107" t="s">
        <v>332</v>
      </c>
      <c r="N90" s="108">
        <v>46134</v>
      </c>
      <c r="O90" s="108">
        <v>46142</v>
      </c>
      <c r="P90" s="108">
        <v>46157</v>
      </c>
      <c r="Q90" s="108">
        <v>46163</v>
      </c>
    </row>
    <row r="91" spans="1:17" ht="18.75" x14ac:dyDescent="0.3">
      <c r="A91" s="22" t="s">
        <v>151</v>
      </c>
      <c r="B91" s="38" t="s">
        <v>127</v>
      </c>
      <c r="C91" s="5">
        <v>14558067873</v>
      </c>
      <c r="D91" s="5">
        <v>71205556</v>
      </c>
      <c r="E91" s="5" t="s">
        <v>267</v>
      </c>
      <c r="F91" s="5" t="s">
        <v>268</v>
      </c>
      <c r="G91" s="5" t="s">
        <v>269</v>
      </c>
      <c r="H91" s="16" t="s">
        <v>278</v>
      </c>
      <c r="I91" s="31" t="s">
        <v>284</v>
      </c>
      <c r="J91" s="5">
        <v>0.04</v>
      </c>
      <c r="K91" s="13">
        <v>46193</v>
      </c>
      <c r="L91" s="20" t="b">
        <v>0</v>
      </c>
      <c r="M91" s="107" t="s">
        <v>332</v>
      </c>
      <c r="N91" s="108">
        <v>46134</v>
      </c>
      <c r="O91" s="108">
        <v>46142</v>
      </c>
      <c r="P91" s="108">
        <v>46157</v>
      </c>
      <c r="Q91" s="108">
        <v>46163</v>
      </c>
    </row>
    <row r="92" spans="1:17" ht="18.75" x14ac:dyDescent="0.3">
      <c r="A92" s="22" t="s">
        <v>154</v>
      </c>
      <c r="B92" s="38" t="s">
        <v>127</v>
      </c>
      <c r="C92" s="5">
        <v>14558067881</v>
      </c>
      <c r="D92" s="5">
        <v>71205556</v>
      </c>
      <c r="E92" s="5" t="s">
        <v>267</v>
      </c>
      <c r="F92" s="5" t="s">
        <v>268</v>
      </c>
      <c r="G92" s="5" t="s">
        <v>269</v>
      </c>
      <c r="H92" s="17" t="s">
        <v>277</v>
      </c>
      <c r="I92" s="31" t="s">
        <v>284</v>
      </c>
      <c r="J92" s="5">
        <v>0.55000000000000004</v>
      </c>
      <c r="K92" s="13">
        <v>46193</v>
      </c>
      <c r="L92" s="20" t="b">
        <v>0</v>
      </c>
      <c r="M92" s="107" t="s">
        <v>332</v>
      </c>
      <c r="N92" s="108">
        <v>46134</v>
      </c>
      <c r="O92" s="108">
        <v>46142</v>
      </c>
      <c r="P92" s="108">
        <v>46157</v>
      </c>
      <c r="Q92" s="108">
        <v>46163</v>
      </c>
    </row>
    <row r="93" spans="1:17" ht="18.75" x14ac:dyDescent="0.3">
      <c r="A93" s="22" t="s">
        <v>9</v>
      </c>
      <c r="B93" s="41" t="s">
        <v>10</v>
      </c>
      <c r="C93" s="5"/>
      <c r="D93" s="5">
        <v>82929702</v>
      </c>
      <c r="E93" s="5" t="s">
        <v>267</v>
      </c>
      <c r="F93" s="5" t="s">
        <v>268</v>
      </c>
      <c r="G93" s="5" t="s">
        <v>269</v>
      </c>
      <c r="H93" s="5"/>
      <c r="I93" s="55" t="s">
        <v>282</v>
      </c>
      <c r="J93" s="18">
        <v>0</v>
      </c>
      <c r="K93" s="5"/>
      <c r="L93" s="20" t="b">
        <v>0</v>
      </c>
      <c r="M93" s="107" t="s">
        <v>354</v>
      </c>
      <c r="N93" s="108">
        <v>46273</v>
      </c>
      <c r="O93" s="108">
        <v>46280</v>
      </c>
      <c r="P93" s="108">
        <v>46295</v>
      </c>
      <c r="Q93" s="108">
        <v>46301</v>
      </c>
    </row>
    <row r="94" spans="1:17" ht="18.75" x14ac:dyDescent="0.3">
      <c r="A94" s="22" t="s">
        <v>14</v>
      </c>
      <c r="B94" s="41" t="s">
        <v>10</v>
      </c>
      <c r="C94" s="5"/>
      <c r="D94" s="5">
        <v>82929702</v>
      </c>
      <c r="E94" s="5" t="s">
        <v>267</v>
      </c>
      <c r="F94" s="5" t="s">
        <v>268</v>
      </c>
      <c r="G94" s="5" t="s">
        <v>269</v>
      </c>
      <c r="H94" s="5"/>
      <c r="I94" s="55" t="s">
        <v>282</v>
      </c>
      <c r="J94" s="18">
        <v>0</v>
      </c>
      <c r="K94" s="5"/>
      <c r="L94" s="20" t="b">
        <v>0</v>
      </c>
      <c r="M94" s="107" t="s">
        <v>354</v>
      </c>
      <c r="N94" s="108">
        <v>46273</v>
      </c>
      <c r="O94" s="108">
        <v>46280</v>
      </c>
      <c r="P94" s="108">
        <v>46295</v>
      </c>
      <c r="Q94" s="108">
        <v>46301</v>
      </c>
    </row>
    <row r="95" spans="1:17" ht="18.75" x14ac:dyDescent="0.3">
      <c r="A95" s="22" t="s">
        <v>17</v>
      </c>
      <c r="B95" s="41" t="s">
        <v>10</v>
      </c>
      <c r="C95" s="5"/>
      <c r="D95" s="5">
        <v>82929702</v>
      </c>
      <c r="E95" s="5" t="s">
        <v>267</v>
      </c>
      <c r="F95" s="5" t="s">
        <v>268</v>
      </c>
      <c r="G95" s="5" t="s">
        <v>269</v>
      </c>
      <c r="H95" s="5"/>
      <c r="I95" s="55" t="s">
        <v>282</v>
      </c>
      <c r="J95" s="18">
        <v>0</v>
      </c>
      <c r="K95" s="5"/>
      <c r="L95" s="20" t="b">
        <v>0</v>
      </c>
      <c r="M95" s="107" t="s">
        <v>354</v>
      </c>
      <c r="N95" s="108">
        <v>46273</v>
      </c>
      <c r="O95" s="108">
        <v>46280</v>
      </c>
      <c r="P95" s="108">
        <v>46295</v>
      </c>
      <c r="Q95" s="108">
        <v>46301</v>
      </c>
    </row>
    <row r="96" spans="1:17" ht="18.75" x14ac:dyDescent="0.3">
      <c r="A96" s="22" t="s">
        <v>19</v>
      </c>
      <c r="B96" s="41" t="s">
        <v>10</v>
      </c>
      <c r="C96" s="5"/>
      <c r="D96" s="5">
        <v>82929702</v>
      </c>
      <c r="E96" s="5" t="s">
        <v>267</v>
      </c>
      <c r="F96" s="5" t="s">
        <v>268</v>
      </c>
      <c r="G96" s="5" t="s">
        <v>269</v>
      </c>
      <c r="H96" s="5"/>
      <c r="I96" s="55" t="s">
        <v>282</v>
      </c>
      <c r="J96" s="18">
        <v>0</v>
      </c>
      <c r="K96" s="5"/>
      <c r="L96" s="20" t="b">
        <v>0</v>
      </c>
      <c r="M96" s="107" t="s">
        <v>354</v>
      </c>
      <c r="N96" s="108">
        <v>46273</v>
      </c>
      <c r="O96" s="108">
        <v>46280</v>
      </c>
      <c r="P96" s="108">
        <v>46295</v>
      </c>
      <c r="Q96" s="108">
        <v>46301</v>
      </c>
    </row>
    <row r="97" spans="1:17" ht="18.75" x14ac:dyDescent="0.3">
      <c r="A97" s="22" t="s">
        <v>21</v>
      </c>
      <c r="B97" s="41" t="s">
        <v>10</v>
      </c>
      <c r="C97" s="5"/>
      <c r="D97" s="5">
        <v>82929702</v>
      </c>
      <c r="E97" s="5" t="s">
        <v>267</v>
      </c>
      <c r="F97" s="5" t="s">
        <v>268</v>
      </c>
      <c r="G97" s="5" t="s">
        <v>269</v>
      </c>
      <c r="H97" s="5"/>
      <c r="I97" s="55" t="s">
        <v>282</v>
      </c>
      <c r="J97" s="18">
        <v>0</v>
      </c>
      <c r="K97" s="5"/>
      <c r="L97" s="20" t="b">
        <v>0</v>
      </c>
      <c r="M97" s="107" t="s">
        <v>354</v>
      </c>
      <c r="N97" s="108">
        <v>46273</v>
      </c>
      <c r="O97" s="108">
        <v>46280</v>
      </c>
      <c r="P97" s="108">
        <v>46295</v>
      </c>
      <c r="Q97" s="108">
        <v>46301</v>
      </c>
    </row>
    <row r="98" spans="1:17" ht="18.75" x14ac:dyDescent="0.3">
      <c r="A98" s="22" t="s">
        <v>23</v>
      </c>
      <c r="B98" s="41" t="s">
        <v>10</v>
      </c>
      <c r="C98" s="5"/>
      <c r="D98" s="5">
        <v>82929702</v>
      </c>
      <c r="E98" s="5" t="s">
        <v>267</v>
      </c>
      <c r="F98" s="5" t="s">
        <v>268</v>
      </c>
      <c r="G98" s="5" t="s">
        <v>269</v>
      </c>
      <c r="H98" s="5"/>
      <c r="I98" s="62" t="s">
        <v>285</v>
      </c>
      <c r="J98" s="18">
        <v>0</v>
      </c>
      <c r="K98" s="5"/>
      <c r="L98" s="20" t="b">
        <v>0</v>
      </c>
      <c r="M98" s="107" t="s">
        <v>354</v>
      </c>
      <c r="N98" s="108">
        <v>46273</v>
      </c>
      <c r="O98" s="108">
        <v>46280</v>
      </c>
      <c r="P98" s="108">
        <v>46295</v>
      </c>
      <c r="Q98" s="108">
        <v>46301</v>
      </c>
    </row>
    <row r="99" spans="1:17" ht="18.75" x14ac:dyDescent="0.3">
      <c r="A99" s="22" t="s">
        <v>25</v>
      </c>
      <c r="B99" s="41" t="s">
        <v>10</v>
      </c>
      <c r="C99" s="5"/>
      <c r="D99" s="5">
        <v>82929702</v>
      </c>
      <c r="E99" s="5" t="s">
        <v>267</v>
      </c>
      <c r="F99" s="5" t="s">
        <v>268</v>
      </c>
      <c r="G99" s="5" t="s">
        <v>269</v>
      </c>
      <c r="H99" s="5"/>
      <c r="I99" s="62" t="s">
        <v>285</v>
      </c>
      <c r="J99" s="18">
        <v>0</v>
      </c>
      <c r="K99" s="5"/>
      <c r="L99" s="20" t="b">
        <v>0</v>
      </c>
      <c r="M99" s="107" t="s">
        <v>354</v>
      </c>
      <c r="N99" s="108">
        <v>46273</v>
      </c>
      <c r="O99" s="108">
        <v>46280</v>
      </c>
      <c r="P99" s="108">
        <v>46295</v>
      </c>
      <c r="Q99" s="108">
        <v>46301</v>
      </c>
    </row>
    <row r="100" spans="1:17" ht="18.75" x14ac:dyDescent="0.3">
      <c r="A100" s="22" t="s">
        <v>27</v>
      </c>
      <c r="B100" s="41" t="s">
        <v>10</v>
      </c>
      <c r="C100" s="5"/>
      <c r="D100" s="5">
        <v>82929702</v>
      </c>
      <c r="E100" s="5" t="s">
        <v>267</v>
      </c>
      <c r="F100" s="5" t="s">
        <v>268</v>
      </c>
      <c r="G100" s="5" t="s">
        <v>269</v>
      </c>
      <c r="H100" s="5"/>
      <c r="I100" s="62" t="s">
        <v>285</v>
      </c>
      <c r="J100" s="18">
        <v>0</v>
      </c>
      <c r="K100" s="5"/>
      <c r="L100" s="20" t="b">
        <v>0</v>
      </c>
      <c r="M100" s="107" t="s">
        <v>354</v>
      </c>
      <c r="N100" s="108">
        <v>46273</v>
      </c>
      <c r="O100" s="108">
        <v>46280</v>
      </c>
      <c r="P100" s="108">
        <v>46295</v>
      </c>
      <c r="Q100" s="108">
        <v>46301</v>
      </c>
    </row>
    <row r="101" spans="1:17" ht="18.75" x14ac:dyDescent="0.3">
      <c r="A101" s="22" t="s">
        <v>29</v>
      </c>
      <c r="B101" s="41" t="s">
        <v>10</v>
      </c>
      <c r="C101" s="5"/>
      <c r="D101" s="5">
        <v>82929702</v>
      </c>
      <c r="E101" s="5" t="s">
        <v>267</v>
      </c>
      <c r="F101" s="5" t="s">
        <v>268</v>
      </c>
      <c r="G101" s="5" t="s">
        <v>269</v>
      </c>
      <c r="H101" s="5"/>
      <c r="I101" s="62" t="s">
        <v>285</v>
      </c>
      <c r="J101" s="18">
        <v>0</v>
      </c>
      <c r="K101" s="5"/>
      <c r="L101" s="20" t="b">
        <v>0</v>
      </c>
      <c r="M101" s="107" t="s">
        <v>354</v>
      </c>
      <c r="N101" s="108">
        <v>46273</v>
      </c>
      <c r="O101" s="108">
        <v>46280</v>
      </c>
      <c r="P101" s="108">
        <v>46295</v>
      </c>
      <c r="Q101" s="108">
        <v>46301</v>
      </c>
    </row>
    <row r="102" spans="1:17" ht="18.75" x14ac:dyDescent="0.3">
      <c r="A102" s="22" t="s">
        <v>31</v>
      </c>
      <c r="B102" s="41" t="s">
        <v>10</v>
      </c>
      <c r="C102" s="5"/>
      <c r="D102" s="5">
        <v>82929702</v>
      </c>
      <c r="E102" s="5" t="s">
        <v>267</v>
      </c>
      <c r="F102" s="5" t="s">
        <v>268</v>
      </c>
      <c r="G102" s="5" t="s">
        <v>269</v>
      </c>
      <c r="H102" s="5"/>
      <c r="I102" s="62" t="s">
        <v>285</v>
      </c>
      <c r="J102" s="18">
        <v>0</v>
      </c>
      <c r="K102" s="5"/>
      <c r="L102" s="20" t="b">
        <v>0</v>
      </c>
      <c r="M102" s="107" t="s">
        <v>354</v>
      </c>
      <c r="N102" s="108">
        <v>46273</v>
      </c>
      <c r="O102" s="108">
        <v>46280</v>
      </c>
      <c r="P102" s="108">
        <v>46295</v>
      </c>
      <c r="Q102" s="108">
        <v>46301</v>
      </c>
    </row>
    <row r="103" spans="1:17" ht="18.75" x14ac:dyDescent="0.3">
      <c r="A103" s="22" t="s">
        <v>144</v>
      </c>
      <c r="B103" s="44" t="s">
        <v>16</v>
      </c>
      <c r="C103" s="5">
        <v>14558068376</v>
      </c>
      <c r="D103" s="5">
        <v>71205556</v>
      </c>
      <c r="E103" s="5" t="s">
        <v>267</v>
      </c>
      <c r="F103" s="5" t="s">
        <v>268</v>
      </c>
      <c r="G103" s="5" t="s">
        <v>269</v>
      </c>
      <c r="H103" s="17" t="s">
        <v>277</v>
      </c>
      <c r="I103" s="31" t="s">
        <v>284</v>
      </c>
      <c r="J103" s="5">
        <v>0</v>
      </c>
      <c r="K103" s="13">
        <v>46193</v>
      </c>
      <c r="L103" s="20" t="b">
        <v>0</v>
      </c>
      <c r="M103" s="107" t="s">
        <v>355</v>
      </c>
      <c r="N103" s="108">
        <v>46213</v>
      </c>
      <c r="O103" s="108">
        <v>46220</v>
      </c>
      <c r="P103" s="108">
        <v>46234</v>
      </c>
      <c r="Q103" s="108">
        <v>46240</v>
      </c>
    </row>
    <row r="104" spans="1:17" ht="18.75" x14ac:dyDescent="0.3">
      <c r="A104" s="22" t="s">
        <v>147</v>
      </c>
      <c r="B104" s="44" t="s">
        <v>16</v>
      </c>
      <c r="C104" s="5">
        <v>14558068293</v>
      </c>
      <c r="D104" s="5">
        <v>71205556</v>
      </c>
      <c r="E104" s="5" t="s">
        <v>267</v>
      </c>
      <c r="F104" s="5" t="s">
        <v>268</v>
      </c>
      <c r="G104" s="5" t="s">
        <v>269</v>
      </c>
      <c r="H104" s="5" t="s">
        <v>275</v>
      </c>
      <c r="I104" s="31" t="s">
        <v>284</v>
      </c>
      <c r="J104" s="5">
        <v>0</v>
      </c>
      <c r="K104" s="13">
        <v>46193</v>
      </c>
      <c r="L104" s="20" t="b">
        <v>0</v>
      </c>
      <c r="M104" s="107" t="s">
        <v>355</v>
      </c>
      <c r="N104" s="108">
        <v>46213</v>
      </c>
      <c r="O104" s="108">
        <v>46220</v>
      </c>
      <c r="P104" s="108">
        <v>46234</v>
      </c>
      <c r="Q104" s="108">
        <v>46240</v>
      </c>
    </row>
    <row r="105" spans="1:17" ht="18.75" x14ac:dyDescent="0.3">
      <c r="A105" s="22" t="s">
        <v>150</v>
      </c>
      <c r="B105" s="44" t="s">
        <v>16</v>
      </c>
      <c r="C105" s="5">
        <v>14558068277</v>
      </c>
      <c r="D105" s="5">
        <v>71205556</v>
      </c>
      <c r="E105" s="5" t="s">
        <v>267</v>
      </c>
      <c r="F105" s="5" t="s">
        <v>268</v>
      </c>
      <c r="G105" s="5" t="s">
        <v>269</v>
      </c>
      <c r="H105" s="16" t="s">
        <v>278</v>
      </c>
      <c r="I105" s="31" t="s">
        <v>284</v>
      </c>
      <c r="J105" s="5">
        <v>0</v>
      </c>
      <c r="K105" s="13">
        <v>46193</v>
      </c>
      <c r="L105" s="20" t="b">
        <v>0</v>
      </c>
      <c r="M105" s="107" t="s">
        <v>355</v>
      </c>
      <c r="N105" s="108">
        <v>46213</v>
      </c>
      <c r="O105" s="108">
        <v>46220</v>
      </c>
      <c r="P105" s="108">
        <v>46234</v>
      </c>
      <c r="Q105" s="108">
        <v>46240</v>
      </c>
    </row>
    <row r="106" spans="1:17" ht="18.75" x14ac:dyDescent="0.3">
      <c r="A106" s="22" t="s">
        <v>153</v>
      </c>
      <c r="B106" s="44" t="s">
        <v>16</v>
      </c>
      <c r="C106" s="5">
        <v>14558068202</v>
      </c>
      <c r="D106" s="5">
        <v>71205556</v>
      </c>
      <c r="E106" s="5" t="s">
        <v>267</v>
      </c>
      <c r="F106" s="5" t="s">
        <v>268</v>
      </c>
      <c r="G106" s="5" t="s">
        <v>269</v>
      </c>
      <c r="H106" s="17" t="s">
        <v>277</v>
      </c>
      <c r="I106" s="31" t="s">
        <v>284</v>
      </c>
      <c r="J106" s="5">
        <v>0</v>
      </c>
      <c r="K106" s="13">
        <v>46193</v>
      </c>
      <c r="L106" s="20" t="b">
        <v>0</v>
      </c>
      <c r="M106" s="107" t="s">
        <v>355</v>
      </c>
      <c r="N106" s="108">
        <v>46213</v>
      </c>
      <c r="O106" s="108">
        <v>46220</v>
      </c>
      <c r="P106" s="108">
        <v>46234</v>
      </c>
      <c r="Q106" s="108">
        <v>46240</v>
      </c>
    </row>
    <row r="107" spans="1:17" ht="18.75" x14ac:dyDescent="0.3">
      <c r="A107" s="22" t="s">
        <v>156</v>
      </c>
      <c r="B107" s="44" t="s">
        <v>16</v>
      </c>
      <c r="C107" s="5">
        <v>14558068053</v>
      </c>
      <c r="D107" s="5">
        <v>71205556</v>
      </c>
      <c r="E107" s="5" t="s">
        <v>267</v>
      </c>
      <c r="F107" s="5" t="s">
        <v>268</v>
      </c>
      <c r="G107" s="5" t="s">
        <v>269</v>
      </c>
      <c r="H107" s="17" t="s">
        <v>277</v>
      </c>
      <c r="I107" s="26" t="s">
        <v>281</v>
      </c>
      <c r="J107" s="18">
        <v>0</v>
      </c>
      <c r="K107" s="13">
        <v>46193</v>
      </c>
      <c r="L107" s="20" t="b">
        <v>0</v>
      </c>
      <c r="M107" s="107" t="s">
        <v>355</v>
      </c>
      <c r="N107" s="108">
        <v>46213</v>
      </c>
      <c r="O107" s="108">
        <v>46220</v>
      </c>
      <c r="P107" s="108">
        <v>46234</v>
      </c>
      <c r="Q107" s="108">
        <v>46240</v>
      </c>
    </row>
    <row r="108" spans="1:17" ht="18.75" x14ac:dyDescent="0.3">
      <c r="A108" s="22" t="s">
        <v>159</v>
      </c>
      <c r="B108" s="44" t="s">
        <v>16</v>
      </c>
      <c r="C108" s="5">
        <v>14558068004</v>
      </c>
      <c r="D108" s="5">
        <v>71205556</v>
      </c>
      <c r="E108" s="5" t="s">
        <v>267</v>
      </c>
      <c r="F108" s="5" t="s">
        <v>268</v>
      </c>
      <c r="G108" s="5" t="s">
        <v>269</v>
      </c>
      <c r="H108" s="5" t="s">
        <v>275</v>
      </c>
      <c r="I108" s="26" t="s">
        <v>281</v>
      </c>
      <c r="J108" s="5">
        <v>0.16</v>
      </c>
      <c r="K108" s="13">
        <v>46193</v>
      </c>
      <c r="L108" s="20" t="b">
        <v>0</v>
      </c>
      <c r="M108" s="107" t="s">
        <v>355</v>
      </c>
      <c r="N108" s="108">
        <v>46213</v>
      </c>
      <c r="O108" s="108">
        <v>46220</v>
      </c>
      <c r="P108" s="108">
        <v>46234</v>
      </c>
      <c r="Q108" s="108">
        <v>46240</v>
      </c>
    </row>
    <row r="109" spans="1:17" ht="18.75" x14ac:dyDescent="0.3">
      <c r="A109" s="22" t="s">
        <v>162</v>
      </c>
      <c r="B109" s="44" t="s">
        <v>16</v>
      </c>
      <c r="C109" s="5">
        <v>14558068079</v>
      </c>
      <c r="D109" s="5">
        <v>71205556</v>
      </c>
      <c r="E109" s="5" t="s">
        <v>267</v>
      </c>
      <c r="F109" s="5" t="s">
        <v>268</v>
      </c>
      <c r="G109" s="5" t="s">
        <v>269</v>
      </c>
      <c r="H109" s="16" t="s">
        <v>278</v>
      </c>
      <c r="I109" s="26" t="s">
        <v>281</v>
      </c>
      <c r="J109" s="18">
        <v>0</v>
      </c>
      <c r="K109" s="13">
        <v>46193</v>
      </c>
      <c r="L109" s="20" t="b">
        <v>0</v>
      </c>
      <c r="M109" s="107" t="s">
        <v>355</v>
      </c>
      <c r="N109" s="108">
        <v>46213</v>
      </c>
      <c r="O109" s="108">
        <v>46220</v>
      </c>
      <c r="P109" s="108">
        <v>46234</v>
      </c>
      <c r="Q109" s="108">
        <v>46240</v>
      </c>
    </row>
    <row r="110" spans="1:17" ht="18.75" x14ac:dyDescent="0.3">
      <c r="A110" s="22" t="s">
        <v>165</v>
      </c>
      <c r="B110" s="44" t="s">
        <v>16</v>
      </c>
      <c r="C110" s="5">
        <v>14558068095</v>
      </c>
      <c r="D110" s="5">
        <v>71205556</v>
      </c>
      <c r="E110" s="5" t="s">
        <v>267</v>
      </c>
      <c r="F110" s="5" t="s">
        <v>268</v>
      </c>
      <c r="G110" s="5" t="s">
        <v>269</v>
      </c>
      <c r="H110" s="17" t="s">
        <v>277</v>
      </c>
      <c r="I110" s="26" t="s">
        <v>281</v>
      </c>
      <c r="J110" s="18">
        <v>0</v>
      </c>
      <c r="K110" s="13">
        <v>46193</v>
      </c>
      <c r="L110" s="20" t="b">
        <v>0</v>
      </c>
      <c r="M110" s="107" t="s">
        <v>355</v>
      </c>
      <c r="N110" s="108">
        <v>46213</v>
      </c>
      <c r="O110" s="108">
        <v>46220</v>
      </c>
      <c r="P110" s="108">
        <v>46234</v>
      </c>
      <c r="Q110" s="108">
        <v>46240</v>
      </c>
    </row>
    <row r="111" spans="1:17" ht="18.75" x14ac:dyDescent="0.3">
      <c r="A111" s="22" t="s">
        <v>168</v>
      </c>
      <c r="B111" s="44" t="s">
        <v>16</v>
      </c>
      <c r="C111" s="5">
        <v>14558069663</v>
      </c>
      <c r="D111" s="5">
        <v>71205556</v>
      </c>
      <c r="E111" s="5" t="s">
        <v>267</v>
      </c>
      <c r="F111" s="5" t="s">
        <v>268</v>
      </c>
      <c r="G111" s="5" t="s">
        <v>269</v>
      </c>
      <c r="H111" s="5" t="s">
        <v>275</v>
      </c>
      <c r="I111" s="26" t="s">
        <v>281</v>
      </c>
      <c r="J111" s="18">
        <v>0</v>
      </c>
      <c r="K111" s="13">
        <v>46193</v>
      </c>
      <c r="L111" s="20" t="b">
        <v>0</v>
      </c>
      <c r="M111" s="107" t="s">
        <v>356</v>
      </c>
      <c r="N111" s="108">
        <v>46227</v>
      </c>
      <c r="O111" s="108">
        <v>46234</v>
      </c>
      <c r="P111" s="108">
        <v>46249</v>
      </c>
      <c r="Q111" s="108">
        <v>46255</v>
      </c>
    </row>
    <row r="112" spans="1:17" ht="18.75" x14ac:dyDescent="0.3">
      <c r="A112" s="22" t="s">
        <v>171</v>
      </c>
      <c r="B112" s="44" t="s">
        <v>16</v>
      </c>
      <c r="C112" s="5">
        <v>14558069432</v>
      </c>
      <c r="D112" s="5">
        <v>71205556</v>
      </c>
      <c r="E112" s="5" t="s">
        <v>267</v>
      </c>
      <c r="F112" s="5" t="s">
        <v>268</v>
      </c>
      <c r="G112" s="5" t="s">
        <v>269</v>
      </c>
      <c r="H112" s="5" t="s">
        <v>275</v>
      </c>
      <c r="I112" s="25" t="s">
        <v>276</v>
      </c>
      <c r="J112" s="18">
        <v>0</v>
      </c>
      <c r="K112" s="13">
        <v>46193</v>
      </c>
      <c r="L112" s="20" t="b">
        <v>0</v>
      </c>
      <c r="M112" s="107" t="s">
        <v>356</v>
      </c>
      <c r="N112" s="108">
        <v>46227</v>
      </c>
      <c r="O112" s="108">
        <v>46234</v>
      </c>
      <c r="P112" s="108">
        <v>46249</v>
      </c>
      <c r="Q112" s="108">
        <v>46255</v>
      </c>
    </row>
    <row r="113" spans="1:17" ht="18.75" x14ac:dyDescent="0.3">
      <c r="A113" s="22" t="s">
        <v>174</v>
      </c>
      <c r="B113" s="44" t="s">
        <v>16</v>
      </c>
      <c r="C113" s="5">
        <v>14558068020</v>
      </c>
      <c r="D113" s="5">
        <v>71205556</v>
      </c>
      <c r="E113" s="5" t="s">
        <v>267</v>
      </c>
      <c r="F113" s="5" t="s">
        <v>268</v>
      </c>
      <c r="G113" s="5" t="s">
        <v>269</v>
      </c>
      <c r="H113" s="17" t="s">
        <v>277</v>
      </c>
      <c r="I113" s="25" t="s">
        <v>276</v>
      </c>
      <c r="J113" s="18">
        <v>0</v>
      </c>
      <c r="K113" s="13">
        <v>46193</v>
      </c>
      <c r="L113" s="20" t="b">
        <v>1</v>
      </c>
      <c r="M113" s="107" t="s">
        <v>356</v>
      </c>
      <c r="N113" s="108">
        <v>46227</v>
      </c>
      <c r="O113" s="108">
        <v>46234</v>
      </c>
      <c r="P113" s="108">
        <v>46249</v>
      </c>
      <c r="Q113" s="108">
        <v>46255</v>
      </c>
    </row>
    <row r="114" spans="1:17" ht="18.75" x14ac:dyDescent="0.3">
      <c r="A114" s="22" t="s">
        <v>177</v>
      </c>
      <c r="B114" s="44" t="s">
        <v>16</v>
      </c>
      <c r="C114" s="5">
        <v>14558069846</v>
      </c>
      <c r="D114" s="5">
        <v>71205556</v>
      </c>
      <c r="E114" s="5" t="s">
        <v>267</v>
      </c>
      <c r="F114" s="5" t="s">
        <v>268</v>
      </c>
      <c r="G114" s="5" t="s">
        <v>269</v>
      </c>
      <c r="H114" s="5" t="s">
        <v>275</v>
      </c>
      <c r="I114" s="25" t="s">
        <v>276</v>
      </c>
      <c r="J114" s="18">
        <v>0</v>
      </c>
      <c r="K114" s="13">
        <v>46193</v>
      </c>
      <c r="L114" s="20" t="b">
        <v>0</v>
      </c>
      <c r="M114" s="107" t="s">
        <v>356</v>
      </c>
      <c r="N114" s="108">
        <v>46227</v>
      </c>
      <c r="O114" s="108">
        <v>46234</v>
      </c>
      <c r="P114" s="108">
        <v>46249</v>
      </c>
      <c r="Q114" s="108">
        <v>46255</v>
      </c>
    </row>
    <row r="115" spans="1:17" ht="18.75" x14ac:dyDescent="0.3">
      <c r="A115" s="22" t="s">
        <v>180</v>
      </c>
      <c r="B115" s="44" t="s">
        <v>16</v>
      </c>
      <c r="C115" s="5">
        <v>14558069804</v>
      </c>
      <c r="D115" s="5">
        <v>71205556</v>
      </c>
      <c r="E115" s="5" t="s">
        <v>267</v>
      </c>
      <c r="F115" s="5" t="s">
        <v>268</v>
      </c>
      <c r="G115" s="5" t="s">
        <v>269</v>
      </c>
      <c r="H115" s="16" t="s">
        <v>278</v>
      </c>
      <c r="I115" s="25" t="s">
        <v>276</v>
      </c>
      <c r="J115" s="18">
        <v>0</v>
      </c>
      <c r="K115" s="13">
        <v>46193</v>
      </c>
      <c r="L115" s="20" t="b">
        <v>0</v>
      </c>
      <c r="M115" s="107" t="s">
        <v>356</v>
      </c>
      <c r="N115" s="108">
        <v>46227</v>
      </c>
      <c r="O115" s="108">
        <v>46234</v>
      </c>
      <c r="P115" s="108">
        <v>46249</v>
      </c>
      <c r="Q115" s="108">
        <v>46255</v>
      </c>
    </row>
    <row r="116" spans="1:17" ht="18.75" x14ac:dyDescent="0.3">
      <c r="A116" s="22" t="s">
        <v>181</v>
      </c>
      <c r="B116" s="44" t="s">
        <v>16</v>
      </c>
      <c r="C116" s="5">
        <v>14558069671</v>
      </c>
      <c r="D116" s="5">
        <v>71205556</v>
      </c>
      <c r="E116" s="5" t="s">
        <v>267</v>
      </c>
      <c r="F116" s="5" t="s">
        <v>268</v>
      </c>
      <c r="G116" s="5" t="s">
        <v>269</v>
      </c>
      <c r="H116" s="17" t="s">
        <v>277</v>
      </c>
      <c r="I116" s="25" t="s">
        <v>276</v>
      </c>
      <c r="J116" s="18">
        <v>0</v>
      </c>
      <c r="K116" s="13">
        <v>46193</v>
      </c>
      <c r="L116" s="20" t="b">
        <v>0</v>
      </c>
      <c r="M116" s="107" t="s">
        <v>356</v>
      </c>
      <c r="N116" s="108">
        <v>46227</v>
      </c>
      <c r="O116" s="108">
        <v>46234</v>
      </c>
      <c r="P116" s="108">
        <v>46249</v>
      </c>
      <c r="Q116" s="108">
        <v>46255</v>
      </c>
    </row>
    <row r="117" spans="1:17" ht="18.75" x14ac:dyDescent="0.3">
      <c r="A117" s="22" t="s">
        <v>182</v>
      </c>
      <c r="B117" s="44" t="s">
        <v>16</v>
      </c>
      <c r="C117" s="5">
        <v>14558067949</v>
      </c>
      <c r="D117" s="5">
        <v>71205556</v>
      </c>
      <c r="E117" s="5" t="s">
        <v>267</v>
      </c>
      <c r="F117" s="5" t="s">
        <v>268</v>
      </c>
      <c r="G117" s="5" t="s">
        <v>269</v>
      </c>
      <c r="H117" s="5" t="s">
        <v>275</v>
      </c>
      <c r="I117" s="25" t="s">
        <v>276</v>
      </c>
      <c r="J117" s="18">
        <v>0</v>
      </c>
      <c r="K117" s="13">
        <v>46193</v>
      </c>
      <c r="L117" s="20" t="b">
        <v>0</v>
      </c>
      <c r="M117" s="107" t="s">
        <v>356</v>
      </c>
      <c r="N117" s="108">
        <v>46227</v>
      </c>
      <c r="O117" s="108">
        <v>46234</v>
      </c>
      <c r="P117" s="108">
        <v>46249</v>
      </c>
      <c r="Q117" s="108">
        <v>46255</v>
      </c>
    </row>
    <row r="118" spans="1:17" ht="18.75" x14ac:dyDescent="0.3">
      <c r="A118" s="22" t="s">
        <v>183</v>
      </c>
      <c r="B118" s="44" t="s">
        <v>16</v>
      </c>
      <c r="C118" s="5">
        <v>14558068335</v>
      </c>
      <c r="D118" s="5">
        <v>71205556</v>
      </c>
      <c r="E118" s="5" t="s">
        <v>267</v>
      </c>
      <c r="F118" s="5" t="s">
        <v>268</v>
      </c>
      <c r="G118" s="5" t="s">
        <v>269</v>
      </c>
      <c r="H118" s="16" t="s">
        <v>278</v>
      </c>
      <c r="I118" s="25" t="s">
        <v>276</v>
      </c>
      <c r="J118" s="18">
        <v>0</v>
      </c>
      <c r="K118" s="13">
        <v>46193</v>
      </c>
      <c r="L118" s="20" t="b">
        <v>1</v>
      </c>
      <c r="M118" s="107" t="s">
        <v>356</v>
      </c>
      <c r="N118" s="108">
        <v>46227</v>
      </c>
      <c r="O118" s="108">
        <v>46234</v>
      </c>
      <c r="P118" s="108">
        <v>46249</v>
      </c>
      <c r="Q118" s="108">
        <v>46255</v>
      </c>
    </row>
    <row r="119" spans="1:17" ht="18.75" x14ac:dyDescent="0.3">
      <c r="A119" s="22" t="s">
        <v>184</v>
      </c>
      <c r="B119" s="44" t="s">
        <v>16</v>
      </c>
      <c r="C119" s="5"/>
      <c r="D119" s="5">
        <v>71205556</v>
      </c>
      <c r="E119" s="5" t="s">
        <v>267</v>
      </c>
      <c r="F119" s="5" t="s">
        <v>268</v>
      </c>
      <c r="G119" s="5" t="s">
        <v>269</v>
      </c>
      <c r="H119" s="5"/>
      <c r="I119" s="66" t="s">
        <v>298</v>
      </c>
      <c r="J119" s="18">
        <v>0</v>
      </c>
      <c r="K119" s="5"/>
      <c r="L119" s="20" t="b">
        <v>0</v>
      </c>
      <c r="M119" s="107" t="s">
        <v>357</v>
      </c>
      <c r="N119" s="108">
        <v>46242</v>
      </c>
      <c r="O119" s="108">
        <v>46251</v>
      </c>
      <c r="P119" s="108">
        <v>46265</v>
      </c>
      <c r="Q119" s="108">
        <v>46270</v>
      </c>
    </row>
    <row r="120" spans="1:17" ht="18.75" x14ac:dyDescent="0.3">
      <c r="A120" s="22" t="s">
        <v>185</v>
      </c>
      <c r="B120" s="44" t="s">
        <v>16</v>
      </c>
      <c r="C120" s="5"/>
      <c r="D120" s="5">
        <v>71205556</v>
      </c>
      <c r="E120" s="5" t="s">
        <v>267</v>
      </c>
      <c r="F120" s="5" t="s">
        <v>268</v>
      </c>
      <c r="G120" s="5" t="s">
        <v>269</v>
      </c>
      <c r="H120" s="5"/>
      <c r="I120" s="66" t="s">
        <v>298</v>
      </c>
      <c r="J120" s="18">
        <v>0</v>
      </c>
      <c r="K120" s="5"/>
      <c r="L120" s="20" t="b">
        <v>0</v>
      </c>
      <c r="M120" s="107" t="s">
        <v>357</v>
      </c>
      <c r="N120" s="108">
        <v>46242</v>
      </c>
      <c r="O120" s="108">
        <v>46251</v>
      </c>
      <c r="P120" s="108">
        <v>46265</v>
      </c>
      <c r="Q120" s="108">
        <v>46270</v>
      </c>
    </row>
    <row r="121" spans="1:17" ht="18.75" x14ac:dyDescent="0.3">
      <c r="A121" s="22" t="s">
        <v>186</v>
      </c>
      <c r="B121" s="44" t="s">
        <v>16</v>
      </c>
      <c r="C121" s="5"/>
      <c r="D121" s="5">
        <v>71205556</v>
      </c>
      <c r="E121" s="5" t="s">
        <v>267</v>
      </c>
      <c r="F121" s="5" t="s">
        <v>268</v>
      </c>
      <c r="G121" s="5" t="s">
        <v>269</v>
      </c>
      <c r="H121" s="5"/>
      <c r="I121" s="66" t="s">
        <v>298</v>
      </c>
      <c r="J121" s="18">
        <v>0</v>
      </c>
      <c r="K121" s="5"/>
      <c r="L121" s="20" t="b">
        <v>0</v>
      </c>
      <c r="M121" s="107" t="s">
        <v>357</v>
      </c>
      <c r="N121" s="108">
        <v>46242</v>
      </c>
      <c r="O121" s="108">
        <v>46251</v>
      </c>
      <c r="P121" s="108">
        <v>46265</v>
      </c>
      <c r="Q121" s="108">
        <v>46270</v>
      </c>
    </row>
    <row r="122" spans="1:17" ht="18.75" x14ac:dyDescent="0.3">
      <c r="A122" s="22" t="s">
        <v>187</v>
      </c>
      <c r="B122" s="44" t="s">
        <v>16</v>
      </c>
      <c r="C122" s="5"/>
      <c r="D122" s="5">
        <v>71205556</v>
      </c>
      <c r="E122" s="5" t="s">
        <v>267</v>
      </c>
      <c r="F122" s="5" t="s">
        <v>268</v>
      </c>
      <c r="G122" s="5" t="s">
        <v>269</v>
      </c>
      <c r="H122" s="5"/>
      <c r="I122" s="66" t="s">
        <v>298</v>
      </c>
      <c r="J122" s="18">
        <v>0</v>
      </c>
      <c r="K122" s="5"/>
      <c r="L122" s="20" t="b">
        <v>0</v>
      </c>
      <c r="M122" s="107" t="s">
        <v>357</v>
      </c>
      <c r="N122" s="108">
        <v>46242</v>
      </c>
      <c r="O122" s="108">
        <v>46251</v>
      </c>
      <c r="P122" s="108">
        <v>46265</v>
      </c>
      <c r="Q122" s="108">
        <v>46270</v>
      </c>
    </row>
    <row r="123" spans="1:17" ht="18.75" x14ac:dyDescent="0.3">
      <c r="A123" s="22" t="s">
        <v>188</v>
      </c>
      <c r="B123" s="44" t="s">
        <v>16</v>
      </c>
      <c r="C123" s="5"/>
      <c r="D123" s="5">
        <v>71205556</v>
      </c>
      <c r="E123" s="5" t="s">
        <v>267</v>
      </c>
      <c r="F123" s="5" t="s">
        <v>268</v>
      </c>
      <c r="G123" s="5" t="s">
        <v>269</v>
      </c>
      <c r="H123" s="5"/>
      <c r="I123" s="66" t="s">
        <v>298</v>
      </c>
      <c r="J123" s="18">
        <v>0</v>
      </c>
      <c r="K123" s="5"/>
      <c r="L123" s="20" t="b">
        <v>0</v>
      </c>
      <c r="M123" s="107" t="s">
        <v>357</v>
      </c>
      <c r="N123" s="108">
        <v>46242</v>
      </c>
      <c r="O123" s="108">
        <v>46251</v>
      </c>
      <c r="P123" s="108">
        <v>46265</v>
      </c>
      <c r="Q123" s="108">
        <v>46270</v>
      </c>
    </row>
    <row r="124" spans="1:17" ht="18.75" x14ac:dyDescent="0.3">
      <c r="A124" s="22" t="s">
        <v>189</v>
      </c>
      <c r="B124" s="44" t="s">
        <v>16</v>
      </c>
      <c r="C124" s="5"/>
      <c r="D124" s="5">
        <v>71205556</v>
      </c>
      <c r="E124" s="5" t="s">
        <v>267</v>
      </c>
      <c r="F124" s="5" t="s">
        <v>268</v>
      </c>
      <c r="G124" s="5" t="s">
        <v>269</v>
      </c>
      <c r="H124" s="5"/>
      <c r="I124" s="66" t="s">
        <v>298</v>
      </c>
      <c r="J124" s="18">
        <v>0</v>
      </c>
      <c r="K124" s="5"/>
      <c r="L124" s="20" t="b">
        <v>0</v>
      </c>
      <c r="M124" s="107" t="s">
        <v>357</v>
      </c>
      <c r="N124" s="108">
        <v>46242</v>
      </c>
      <c r="O124" s="108">
        <v>46251</v>
      </c>
      <c r="P124" s="108">
        <v>46265</v>
      </c>
      <c r="Q124" s="108">
        <v>46270</v>
      </c>
    </row>
    <row r="125" spans="1:17" ht="18.75" x14ac:dyDescent="0.3">
      <c r="A125" s="22" t="s">
        <v>190</v>
      </c>
      <c r="B125" s="44" t="s">
        <v>16</v>
      </c>
      <c r="C125" s="5"/>
      <c r="D125" s="5">
        <v>71205556</v>
      </c>
      <c r="E125" s="5" t="s">
        <v>267</v>
      </c>
      <c r="F125" s="5" t="s">
        <v>268</v>
      </c>
      <c r="G125" s="5" t="s">
        <v>269</v>
      </c>
      <c r="H125" s="5"/>
      <c r="I125" s="66" t="s">
        <v>298</v>
      </c>
      <c r="J125" s="18">
        <v>0</v>
      </c>
      <c r="K125" s="5"/>
      <c r="L125" s="20" t="b">
        <v>0</v>
      </c>
      <c r="M125" s="107" t="s">
        <v>357</v>
      </c>
      <c r="N125" s="108">
        <v>46242</v>
      </c>
      <c r="O125" s="108">
        <v>46251</v>
      </c>
      <c r="P125" s="108">
        <v>46265</v>
      </c>
      <c r="Q125" s="108">
        <v>46270</v>
      </c>
    </row>
    <row r="126" spans="1:17" ht="18.75" x14ac:dyDescent="0.3">
      <c r="A126" s="22" t="s">
        <v>191</v>
      </c>
      <c r="B126" s="44" t="s">
        <v>16</v>
      </c>
      <c r="C126" s="5"/>
      <c r="D126" s="5">
        <v>71205556</v>
      </c>
      <c r="E126" s="5" t="s">
        <v>267</v>
      </c>
      <c r="F126" s="5" t="s">
        <v>268</v>
      </c>
      <c r="G126" s="5" t="s">
        <v>269</v>
      </c>
      <c r="H126" s="5"/>
      <c r="I126" s="66" t="s">
        <v>298</v>
      </c>
      <c r="J126" s="18">
        <v>0</v>
      </c>
      <c r="K126" s="5"/>
      <c r="L126" s="20" t="b">
        <v>0</v>
      </c>
      <c r="M126" s="107" t="s">
        <v>357</v>
      </c>
      <c r="N126" s="108">
        <v>46242</v>
      </c>
      <c r="O126" s="108">
        <v>46251</v>
      </c>
      <c r="P126" s="108">
        <v>46265</v>
      </c>
      <c r="Q126" s="108">
        <v>46270</v>
      </c>
    </row>
    <row r="127" spans="1:17" ht="18.75" x14ac:dyDescent="0.3">
      <c r="A127" s="22" t="s">
        <v>193</v>
      </c>
      <c r="B127" s="41" t="s">
        <v>10</v>
      </c>
      <c r="C127" s="5"/>
      <c r="D127" s="5">
        <v>71205556</v>
      </c>
      <c r="E127" s="5" t="s">
        <v>267</v>
      </c>
      <c r="F127" s="5" t="s">
        <v>268</v>
      </c>
      <c r="G127" s="5" t="s">
        <v>269</v>
      </c>
      <c r="H127" s="5"/>
      <c r="I127" s="45" t="s">
        <v>271</v>
      </c>
      <c r="J127" s="18">
        <v>0</v>
      </c>
      <c r="K127" s="5"/>
      <c r="L127" s="20" t="b">
        <v>0</v>
      </c>
      <c r="M127" s="107" t="s">
        <v>359</v>
      </c>
      <c r="N127" s="108">
        <v>46259</v>
      </c>
      <c r="O127" s="108">
        <v>46266</v>
      </c>
      <c r="P127" s="108">
        <v>46280</v>
      </c>
      <c r="Q127" s="108">
        <v>46286</v>
      </c>
    </row>
    <row r="128" spans="1:17" ht="18.75" x14ac:dyDescent="0.3">
      <c r="A128" s="22" t="s">
        <v>195</v>
      </c>
      <c r="B128" s="41" t="s">
        <v>10</v>
      </c>
      <c r="C128" s="5"/>
      <c r="D128" s="5">
        <v>71205556</v>
      </c>
      <c r="E128" s="5" t="s">
        <v>267</v>
      </c>
      <c r="F128" s="5" t="s">
        <v>268</v>
      </c>
      <c r="G128" s="5" t="s">
        <v>269</v>
      </c>
      <c r="H128" s="5"/>
      <c r="I128" s="45" t="s">
        <v>271</v>
      </c>
      <c r="J128" s="18">
        <v>0</v>
      </c>
      <c r="K128" s="5"/>
      <c r="L128" s="20" t="b">
        <v>0</v>
      </c>
      <c r="M128" s="107" t="s">
        <v>359</v>
      </c>
      <c r="N128" s="108">
        <v>46259</v>
      </c>
      <c r="O128" s="108">
        <v>46266</v>
      </c>
      <c r="P128" s="108">
        <v>46280</v>
      </c>
      <c r="Q128" s="108">
        <v>46286</v>
      </c>
    </row>
    <row r="129" spans="1:17" ht="18.75" x14ac:dyDescent="0.3">
      <c r="A129" s="22" t="s">
        <v>197</v>
      </c>
      <c r="B129" s="41" t="s">
        <v>10</v>
      </c>
      <c r="C129" s="5"/>
      <c r="D129" s="5">
        <v>71205556</v>
      </c>
      <c r="E129" s="5" t="s">
        <v>267</v>
      </c>
      <c r="F129" s="5" t="s">
        <v>268</v>
      </c>
      <c r="G129" s="5" t="s">
        <v>269</v>
      </c>
      <c r="H129" s="5"/>
      <c r="I129" s="45" t="s">
        <v>271</v>
      </c>
      <c r="J129" s="18">
        <v>0</v>
      </c>
      <c r="K129" s="5"/>
      <c r="L129" s="20" t="b">
        <v>0</v>
      </c>
      <c r="M129" s="107" t="s">
        <v>359</v>
      </c>
      <c r="N129" s="108">
        <v>46259</v>
      </c>
      <c r="O129" s="108">
        <v>46266</v>
      </c>
      <c r="P129" s="108">
        <v>46280</v>
      </c>
      <c r="Q129" s="108">
        <v>46286</v>
      </c>
    </row>
    <row r="130" spans="1:17" ht="18.75" x14ac:dyDescent="0.3">
      <c r="A130" s="22" t="s">
        <v>199</v>
      </c>
      <c r="B130" s="41" t="s">
        <v>10</v>
      </c>
      <c r="C130" s="5"/>
      <c r="D130" s="5">
        <v>71205556</v>
      </c>
      <c r="E130" s="5" t="s">
        <v>267</v>
      </c>
      <c r="F130" s="5" t="s">
        <v>268</v>
      </c>
      <c r="G130" s="5" t="s">
        <v>269</v>
      </c>
      <c r="H130" s="5"/>
      <c r="I130" s="45" t="s">
        <v>271</v>
      </c>
      <c r="J130" s="18">
        <v>0</v>
      </c>
      <c r="K130" s="5"/>
      <c r="L130" s="20" t="b">
        <v>0</v>
      </c>
      <c r="M130" s="107" t="s">
        <v>359</v>
      </c>
      <c r="N130" s="108">
        <v>46259</v>
      </c>
      <c r="O130" s="108">
        <v>46266</v>
      </c>
      <c r="P130" s="108">
        <v>46280</v>
      </c>
      <c r="Q130" s="108">
        <v>46286</v>
      </c>
    </row>
    <row r="131" spans="1:17" ht="18.75" x14ac:dyDescent="0.3">
      <c r="A131" s="22" t="s">
        <v>201</v>
      </c>
      <c r="B131" s="41" t="s">
        <v>10</v>
      </c>
      <c r="C131" s="5"/>
      <c r="D131" s="5">
        <v>71205556</v>
      </c>
      <c r="E131" s="5" t="s">
        <v>267</v>
      </c>
      <c r="F131" s="5" t="s">
        <v>268</v>
      </c>
      <c r="G131" s="5" t="s">
        <v>269</v>
      </c>
      <c r="H131" s="5"/>
      <c r="I131" s="46" t="s">
        <v>272</v>
      </c>
      <c r="J131" s="18">
        <v>0</v>
      </c>
      <c r="K131" s="5"/>
      <c r="L131" s="20" t="b">
        <v>0</v>
      </c>
      <c r="M131" s="107" t="s">
        <v>359</v>
      </c>
      <c r="N131" s="108">
        <v>46259</v>
      </c>
      <c r="O131" s="108">
        <v>46266</v>
      </c>
      <c r="P131" s="108">
        <v>46280</v>
      </c>
      <c r="Q131" s="108">
        <v>46286</v>
      </c>
    </row>
    <row r="132" spans="1:17" ht="18.75" x14ac:dyDescent="0.3">
      <c r="A132" s="22" t="s">
        <v>203</v>
      </c>
      <c r="B132" s="41" t="s">
        <v>10</v>
      </c>
      <c r="C132" s="5"/>
      <c r="D132" s="5">
        <v>71205556</v>
      </c>
      <c r="E132" s="5" t="s">
        <v>267</v>
      </c>
      <c r="F132" s="5" t="s">
        <v>268</v>
      </c>
      <c r="G132" s="5" t="s">
        <v>269</v>
      </c>
      <c r="H132" s="5"/>
      <c r="I132" s="46" t="s">
        <v>272</v>
      </c>
      <c r="J132" s="18">
        <v>0</v>
      </c>
      <c r="K132" s="5"/>
      <c r="L132" s="20" t="b">
        <v>0</v>
      </c>
      <c r="M132" s="107" t="s">
        <v>359</v>
      </c>
      <c r="N132" s="108">
        <v>46259</v>
      </c>
      <c r="O132" s="108">
        <v>46266</v>
      </c>
      <c r="P132" s="108">
        <v>46280</v>
      </c>
      <c r="Q132" s="108">
        <v>46286</v>
      </c>
    </row>
    <row r="133" spans="1:17" ht="18.75" x14ac:dyDescent="0.3">
      <c r="A133" s="22" t="s">
        <v>205</v>
      </c>
      <c r="B133" s="41" t="s">
        <v>10</v>
      </c>
      <c r="C133" s="5"/>
      <c r="D133" s="5">
        <v>71205556</v>
      </c>
      <c r="E133" s="5" t="s">
        <v>267</v>
      </c>
      <c r="F133" s="5" t="s">
        <v>268</v>
      </c>
      <c r="G133" s="5" t="s">
        <v>269</v>
      </c>
      <c r="H133" s="5"/>
      <c r="I133" s="46" t="s">
        <v>272</v>
      </c>
      <c r="J133" s="18">
        <v>0</v>
      </c>
      <c r="K133" s="5"/>
      <c r="L133" s="20" t="b">
        <v>0</v>
      </c>
      <c r="M133" s="107" t="s">
        <v>359</v>
      </c>
      <c r="N133" s="108">
        <v>46259</v>
      </c>
      <c r="O133" s="108">
        <v>46266</v>
      </c>
      <c r="P133" s="108">
        <v>46280</v>
      </c>
      <c r="Q133" s="108">
        <v>46286</v>
      </c>
    </row>
    <row r="134" spans="1:17" ht="18.75" x14ac:dyDescent="0.3">
      <c r="A134" s="22" t="s">
        <v>206</v>
      </c>
      <c r="B134" s="41" t="s">
        <v>10</v>
      </c>
      <c r="C134" s="5"/>
      <c r="D134" s="5">
        <v>71205556</v>
      </c>
      <c r="E134" s="5" t="s">
        <v>267</v>
      </c>
      <c r="F134" s="5" t="s">
        <v>268</v>
      </c>
      <c r="G134" s="5" t="s">
        <v>269</v>
      </c>
      <c r="H134" s="5"/>
      <c r="I134" s="46" t="s">
        <v>272</v>
      </c>
      <c r="J134" s="18">
        <v>0</v>
      </c>
      <c r="K134" s="5"/>
      <c r="L134" s="20" t="b">
        <v>0</v>
      </c>
      <c r="M134" s="107" t="s">
        <v>359</v>
      </c>
      <c r="N134" s="108">
        <v>46259</v>
      </c>
      <c r="O134" s="108">
        <v>46266</v>
      </c>
      <c r="P134" s="108">
        <v>46280</v>
      </c>
      <c r="Q134" s="108">
        <v>46286</v>
      </c>
    </row>
    <row r="135" spans="1:17" ht="18.75" x14ac:dyDescent="0.3">
      <c r="A135" s="22" t="s">
        <v>192</v>
      </c>
      <c r="B135" s="44" t="s">
        <v>16</v>
      </c>
      <c r="C135" s="5"/>
      <c r="D135" s="5">
        <v>71205556</v>
      </c>
      <c r="E135" s="5" t="s">
        <v>267</v>
      </c>
      <c r="F135" s="5" t="s">
        <v>268</v>
      </c>
      <c r="G135" s="5" t="s">
        <v>269</v>
      </c>
      <c r="H135" s="5"/>
      <c r="I135" s="45" t="s">
        <v>271</v>
      </c>
      <c r="J135" s="18">
        <v>0</v>
      </c>
      <c r="K135" s="5"/>
      <c r="L135" s="20" t="b">
        <v>0</v>
      </c>
      <c r="M135" s="107" t="s">
        <v>358</v>
      </c>
      <c r="N135" s="108">
        <v>46273</v>
      </c>
      <c r="O135" s="108">
        <v>46280</v>
      </c>
      <c r="P135" s="108">
        <v>46295</v>
      </c>
      <c r="Q135" s="108">
        <v>46301</v>
      </c>
    </row>
    <row r="136" spans="1:17" ht="18.75" x14ac:dyDescent="0.3">
      <c r="A136" s="22" t="s">
        <v>194</v>
      </c>
      <c r="B136" s="44" t="s">
        <v>16</v>
      </c>
      <c r="C136" s="5"/>
      <c r="D136" s="5">
        <v>71205556</v>
      </c>
      <c r="E136" s="5" t="s">
        <v>267</v>
      </c>
      <c r="F136" s="5" t="s">
        <v>268</v>
      </c>
      <c r="G136" s="5" t="s">
        <v>269</v>
      </c>
      <c r="H136" s="5"/>
      <c r="I136" s="45" t="s">
        <v>271</v>
      </c>
      <c r="J136" s="18">
        <v>0</v>
      </c>
      <c r="K136" s="5"/>
      <c r="L136" s="20" t="b">
        <v>0</v>
      </c>
      <c r="M136" s="107" t="s">
        <v>358</v>
      </c>
      <c r="N136" s="108">
        <v>46273</v>
      </c>
      <c r="O136" s="108">
        <v>46280</v>
      </c>
      <c r="P136" s="108">
        <v>46295</v>
      </c>
      <c r="Q136" s="108">
        <v>46301</v>
      </c>
    </row>
    <row r="137" spans="1:17" ht="18.75" x14ac:dyDescent="0.3">
      <c r="A137" s="22" t="s">
        <v>196</v>
      </c>
      <c r="B137" s="44" t="s">
        <v>16</v>
      </c>
      <c r="C137" s="5"/>
      <c r="D137" s="5">
        <v>71205556</v>
      </c>
      <c r="E137" s="5" t="s">
        <v>267</v>
      </c>
      <c r="F137" s="5" t="s">
        <v>268</v>
      </c>
      <c r="G137" s="5" t="s">
        <v>269</v>
      </c>
      <c r="H137" s="5"/>
      <c r="I137" s="45" t="s">
        <v>271</v>
      </c>
      <c r="J137" s="18">
        <v>0</v>
      </c>
      <c r="K137" s="5"/>
      <c r="L137" s="20" t="b">
        <v>0</v>
      </c>
      <c r="M137" s="107" t="s">
        <v>358</v>
      </c>
      <c r="N137" s="108">
        <v>46273</v>
      </c>
      <c r="O137" s="108">
        <v>46280</v>
      </c>
      <c r="P137" s="108">
        <v>46295</v>
      </c>
      <c r="Q137" s="108">
        <v>46301</v>
      </c>
    </row>
    <row r="138" spans="1:17" ht="18.75" x14ac:dyDescent="0.3">
      <c r="A138" s="22" t="s">
        <v>198</v>
      </c>
      <c r="B138" s="44" t="s">
        <v>16</v>
      </c>
      <c r="C138" s="5"/>
      <c r="D138" s="5">
        <v>71205556</v>
      </c>
      <c r="E138" s="5" t="s">
        <v>267</v>
      </c>
      <c r="F138" s="5" t="s">
        <v>268</v>
      </c>
      <c r="G138" s="5" t="s">
        <v>269</v>
      </c>
      <c r="H138" s="5"/>
      <c r="I138" s="46" t="s">
        <v>272</v>
      </c>
      <c r="J138" s="18">
        <v>0</v>
      </c>
      <c r="K138" s="5"/>
      <c r="L138" s="20" t="b">
        <v>0</v>
      </c>
      <c r="M138" s="107" t="s">
        <v>358</v>
      </c>
      <c r="N138" s="108">
        <v>46273</v>
      </c>
      <c r="O138" s="108">
        <v>46280</v>
      </c>
      <c r="P138" s="108">
        <v>46295</v>
      </c>
      <c r="Q138" s="108">
        <v>46301</v>
      </c>
    </row>
    <row r="139" spans="1:17" ht="18.75" x14ac:dyDescent="0.3">
      <c r="A139" s="22" t="s">
        <v>200</v>
      </c>
      <c r="B139" s="44" t="s">
        <v>16</v>
      </c>
      <c r="C139" s="5"/>
      <c r="D139" s="5">
        <v>71205556</v>
      </c>
      <c r="E139" s="5" t="s">
        <v>267</v>
      </c>
      <c r="F139" s="5" t="s">
        <v>268</v>
      </c>
      <c r="G139" s="5" t="s">
        <v>269</v>
      </c>
      <c r="H139" s="5"/>
      <c r="I139" s="46" t="s">
        <v>272</v>
      </c>
      <c r="J139" s="18">
        <v>0</v>
      </c>
      <c r="K139" s="5"/>
      <c r="L139" s="20" t="b">
        <v>0</v>
      </c>
      <c r="M139" s="107" t="s">
        <v>358</v>
      </c>
      <c r="N139" s="108">
        <v>46273</v>
      </c>
      <c r="O139" s="108">
        <v>46280</v>
      </c>
      <c r="P139" s="108">
        <v>46295</v>
      </c>
      <c r="Q139" s="108">
        <v>46301</v>
      </c>
    </row>
    <row r="140" spans="1:17" ht="18.75" x14ac:dyDescent="0.3">
      <c r="A140" s="22" t="s">
        <v>202</v>
      </c>
      <c r="B140" s="44" t="s">
        <v>16</v>
      </c>
      <c r="C140" s="5"/>
      <c r="D140" s="5">
        <v>71205556</v>
      </c>
      <c r="E140" s="5" t="s">
        <v>267</v>
      </c>
      <c r="F140" s="5" t="s">
        <v>268</v>
      </c>
      <c r="G140" s="5" t="s">
        <v>269</v>
      </c>
      <c r="H140" s="5"/>
      <c r="I140" s="46" t="s">
        <v>272</v>
      </c>
      <c r="J140" s="18">
        <v>0</v>
      </c>
      <c r="K140" s="5"/>
      <c r="L140" s="20" t="b">
        <v>0</v>
      </c>
      <c r="M140" s="107" t="s">
        <v>358</v>
      </c>
      <c r="N140" s="108">
        <v>46273</v>
      </c>
      <c r="O140" s="108">
        <v>46280</v>
      </c>
      <c r="P140" s="108">
        <v>46295</v>
      </c>
      <c r="Q140" s="108">
        <v>46301</v>
      </c>
    </row>
    <row r="141" spans="1:17" ht="18.75" x14ac:dyDescent="0.3">
      <c r="A141" s="22" t="s">
        <v>204</v>
      </c>
      <c r="B141" s="44" t="s">
        <v>16</v>
      </c>
      <c r="C141" s="5"/>
      <c r="D141" s="5">
        <v>71205556</v>
      </c>
      <c r="E141" s="5" t="s">
        <v>267</v>
      </c>
      <c r="F141" s="5" t="s">
        <v>268</v>
      </c>
      <c r="G141" s="5" t="s">
        <v>269</v>
      </c>
      <c r="H141" s="5"/>
      <c r="I141" s="46" t="s">
        <v>272</v>
      </c>
      <c r="J141" s="18">
        <v>0</v>
      </c>
      <c r="K141" s="5"/>
      <c r="L141" s="20" t="b">
        <v>0</v>
      </c>
      <c r="M141" s="107" t="s">
        <v>358</v>
      </c>
      <c r="N141" s="108">
        <v>46273</v>
      </c>
      <c r="O141" s="108">
        <v>46280</v>
      </c>
      <c r="P141" s="108">
        <v>46295</v>
      </c>
      <c r="Q141" s="108">
        <v>46301</v>
      </c>
    </row>
    <row r="142" spans="1:17" ht="18.75" x14ac:dyDescent="0.3">
      <c r="A142" s="22" t="s">
        <v>118</v>
      </c>
      <c r="B142" s="43" t="s">
        <v>119</v>
      </c>
      <c r="C142" s="5">
        <v>14558069069</v>
      </c>
      <c r="D142" s="5">
        <v>71205556</v>
      </c>
      <c r="E142" s="5" t="s">
        <v>267</v>
      </c>
      <c r="F142" s="5" t="s">
        <v>268</v>
      </c>
      <c r="G142" s="5" t="s">
        <v>269</v>
      </c>
      <c r="H142" s="16" t="s">
        <v>278</v>
      </c>
      <c r="I142" s="65" t="s">
        <v>296</v>
      </c>
      <c r="J142" s="18">
        <v>0</v>
      </c>
      <c r="K142" s="13">
        <v>46196</v>
      </c>
      <c r="L142" s="20" t="b">
        <v>0</v>
      </c>
      <c r="M142" s="107" t="s">
        <v>333</v>
      </c>
      <c r="N142" s="108">
        <v>46155</v>
      </c>
      <c r="O142" s="108">
        <v>46162</v>
      </c>
      <c r="P142" s="108">
        <v>46176</v>
      </c>
      <c r="Q142" s="108">
        <v>46182</v>
      </c>
    </row>
    <row r="143" spans="1:17" ht="18.75" x14ac:dyDescent="0.3">
      <c r="A143" s="22" t="s">
        <v>120</v>
      </c>
      <c r="B143" s="43" t="s">
        <v>119</v>
      </c>
      <c r="C143" s="5">
        <v>14558069333</v>
      </c>
      <c r="D143" s="5">
        <v>71205556</v>
      </c>
      <c r="E143" s="5" t="s">
        <v>267</v>
      </c>
      <c r="F143" s="5" t="s">
        <v>268</v>
      </c>
      <c r="G143" s="5" t="s">
        <v>269</v>
      </c>
      <c r="H143" s="5" t="s">
        <v>275</v>
      </c>
      <c r="I143" s="65" t="s">
        <v>296</v>
      </c>
      <c r="J143" s="18">
        <v>0</v>
      </c>
      <c r="K143" s="13">
        <v>46196</v>
      </c>
      <c r="L143" s="20" t="b">
        <v>0</v>
      </c>
      <c r="M143" s="107" t="s">
        <v>333</v>
      </c>
      <c r="N143" s="108">
        <v>46155</v>
      </c>
      <c r="O143" s="108">
        <v>46162</v>
      </c>
      <c r="P143" s="108">
        <v>46176</v>
      </c>
      <c r="Q143" s="108">
        <v>46182</v>
      </c>
    </row>
    <row r="144" spans="1:17" ht="18.75" x14ac:dyDescent="0.3">
      <c r="A144" s="22" t="s">
        <v>121</v>
      </c>
      <c r="B144" s="43" t="s">
        <v>119</v>
      </c>
      <c r="C144" s="5">
        <v>14558069937</v>
      </c>
      <c r="D144" s="5">
        <v>71205556</v>
      </c>
      <c r="E144" s="5" t="s">
        <v>267</v>
      </c>
      <c r="F144" s="5" t="s">
        <v>268</v>
      </c>
      <c r="G144" s="5" t="s">
        <v>269</v>
      </c>
      <c r="H144" s="16" t="s">
        <v>278</v>
      </c>
      <c r="I144" s="64" t="s">
        <v>294</v>
      </c>
      <c r="J144" s="18">
        <v>0</v>
      </c>
      <c r="K144" s="13">
        <v>46196</v>
      </c>
      <c r="L144" s="20" t="b">
        <v>1</v>
      </c>
      <c r="M144" s="107" t="s">
        <v>333</v>
      </c>
      <c r="N144" s="108">
        <v>46155</v>
      </c>
      <c r="O144" s="108">
        <v>46162</v>
      </c>
      <c r="P144" s="108">
        <v>46176</v>
      </c>
      <c r="Q144" s="108">
        <v>46182</v>
      </c>
    </row>
    <row r="145" spans="1:17" ht="18.75" x14ac:dyDescent="0.3">
      <c r="A145" s="22" t="s">
        <v>122</v>
      </c>
      <c r="B145" s="43" t="s">
        <v>119</v>
      </c>
      <c r="C145" s="5">
        <v>14558070059</v>
      </c>
      <c r="D145" s="5">
        <v>71205556</v>
      </c>
      <c r="E145" s="5" t="s">
        <v>267</v>
      </c>
      <c r="F145" s="5" t="s">
        <v>268</v>
      </c>
      <c r="G145" s="5" t="s">
        <v>269</v>
      </c>
      <c r="H145" s="5" t="s">
        <v>275</v>
      </c>
      <c r="I145" s="64" t="s">
        <v>294</v>
      </c>
      <c r="J145" s="18">
        <v>0</v>
      </c>
      <c r="K145" s="13">
        <v>46196</v>
      </c>
      <c r="L145" s="20" t="b">
        <v>1</v>
      </c>
      <c r="M145" s="107" t="s">
        <v>333</v>
      </c>
      <c r="N145" s="108">
        <v>46155</v>
      </c>
      <c r="O145" s="108">
        <v>46162</v>
      </c>
      <c r="P145" s="108">
        <v>46176</v>
      </c>
      <c r="Q145" s="108">
        <v>46182</v>
      </c>
    </row>
    <row r="146" spans="1:17" ht="18.75" x14ac:dyDescent="0.3">
      <c r="A146" s="22" t="s">
        <v>124</v>
      </c>
      <c r="B146" s="43" t="s">
        <v>119</v>
      </c>
      <c r="C146" s="5">
        <v>14558068343</v>
      </c>
      <c r="D146" s="5">
        <v>71205556</v>
      </c>
      <c r="E146" s="5" t="s">
        <v>267</v>
      </c>
      <c r="F146" s="5" t="s">
        <v>268</v>
      </c>
      <c r="G146" s="5" t="s">
        <v>269</v>
      </c>
      <c r="H146" s="17" t="s">
        <v>277</v>
      </c>
      <c r="I146" s="64" t="s">
        <v>294</v>
      </c>
      <c r="J146" s="18">
        <v>0</v>
      </c>
      <c r="K146" s="13">
        <v>46196</v>
      </c>
      <c r="L146" s="20" t="b">
        <v>1</v>
      </c>
      <c r="M146" s="107" t="s">
        <v>333</v>
      </c>
      <c r="N146" s="108">
        <v>46155</v>
      </c>
      <c r="O146" s="108">
        <v>46162</v>
      </c>
      <c r="P146" s="108">
        <v>46176</v>
      </c>
      <c r="Q146" s="108">
        <v>46182</v>
      </c>
    </row>
    <row r="147" spans="1:17" ht="18.75" x14ac:dyDescent="0.3">
      <c r="A147" s="22" t="s">
        <v>110</v>
      </c>
      <c r="B147" s="40" t="s">
        <v>103</v>
      </c>
      <c r="C147" s="5">
        <v>14558068806</v>
      </c>
      <c r="D147" s="5">
        <v>71205556</v>
      </c>
      <c r="E147" s="5" t="s">
        <v>267</v>
      </c>
      <c r="F147" s="5" t="s">
        <v>268</v>
      </c>
      <c r="G147" s="5" t="s">
        <v>269</v>
      </c>
      <c r="H147" s="5"/>
      <c r="I147" s="65" t="s">
        <v>296</v>
      </c>
      <c r="J147" s="18">
        <v>0</v>
      </c>
      <c r="K147" s="13">
        <v>46198</v>
      </c>
      <c r="L147" s="20" t="b">
        <v>0</v>
      </c>
      <c r="M147" s="107" t="s">
        <v>334</v>
      </c>
      <c r="N147" s="108">
        <v>46175</v>
      </c>
      <c r="O147" s="108">
        <v>46182</v>
      </c>
      <c r="P147" s="108">
        <v>46197</v>
      </c>
      <c r="Q147" s="108">
        <v>46203</v>
      </c>
    </row>
    <row r="148" spans="1:17" ht="18.75" x14ac:dyDescent="0.3">
      <c r="A148" s="22" t="s">
        <v>111</v>
      </c>
      <c r="B148" s="40" t="s">
        <v>103</v>
      </c>
      <c r="C148" s="5">
        <v>14558069127</v>
      </c>
      <c r="D148" s="5">
        <v>71205556</v>
      </c>
      <c r="E148" s="5" t="s">
        <v>267</v>
      </c>
      <c r="F148" s="5" t="s">
        <v>268</v>
      </c>
      <c r="G148" s="5" t="s">
        <v>269</v>
      </c>
      <c r="H148" s="5" t="s">
        <v>275</v>
      </c>
      <c r="I148" s="65" t="s">
        <v>296</v>
      </c>
      <c r="J148" s="18">
        <v>0</v>
      </c>
      <c r="K148" s="13">
        <v>46196</v>
      </c>
      <c r="L148" s="20" t="b">
        <v>0</v>
      </c>
      <c r="M148" s="107" t="s">
        <v>334</v>
      </c>
      <c r="N148" s="108">
        <v>46175</v>
      </c>
      <c r="O148" s="108">
        <v>46182</v>
      </c>
      <c r="P148" s="108">
        <v>46197</v>
      </c>
      <c r="Q148" s="108">
        <v>46203</v>
      </c>
    </row>
    <row r="149" spans="1:17" ht="18.75" x14ac:dyDescent="0.3">
      <c r="A149" s="22" t="s">
        <v>112</v>
      </c>
      <c r="B149" s="40" t="s">
        <v>103</v>
      </c>
      <c r="C149" s="5">
        <v>14558069077</v>
      </c>
      <c r="D149" s="5">
        <v>71205556</v>
      </c>
      <c r="E149" s="5" t="s">
        <v>267</v>
      </c>
      <c r="F149" s="5" t="s">
        <v>268</v>
      </c>
      <c r="G149" s="5" t="s">
        <v>269</v>
      </c>
      <c r="H149" s="16" t="s">
        <v>278</v>
      </c>
      <c r="I149" s="65" t="s">
        <v>296</v>
      </c>
      <c r="J149" s="18">
        <v>0</v>
      </c>
      <c r="K149" s="13">
        <v>46196</v>
      </c>
      <c r="L149" s="20" t="b">
        <v>0</v>
      </c>
      <c r="M149" s="107" t="s">
        <v>334</v>
      </c>
      <c r="N149" s="108">
        <v>46175</v>
      </c>
      <c r="O149" s="108">
        <v>46182</v>
      </c>
      <c r="P149" s="108">
        <v>46197</v>
      </c>
      <c r="Q149" s="108">
        <v>46203</v>
      </c>
    </row>
    <row r="150" spans="1:17" ht="18.75" x14ac:dyDescent="0.3">
      <c r="A150" s="22" t="s">
        <v>113</v>
      </c>
      <c r="B150" s="40" t="s">
        <v>103</v>
      </c>
      <c r="C150" s="5">
        <v>14558068251</v>
      </c>
      <c r="D150" s="5">
        <v>71205556</v>
      </c>
      <c r="E150" s="5" t="s">
        <v>267</v>
      </c>
      <c r="F150" s="5" t="s">
        <v>268</v>
      </c>
      <c r="G150" s="5" t="s">
        <v>269</v>
      </c>
      <c r="H150" s="17" t="s">
        <v>277</v>
      </c>
      <c r="I150" s="65" t="s">
        <v>296</v>
      </c>
      <c r="J150" s="18">
        <v>0</v>
      </c>
      <c r="K150" s="13">
        <v>46196</v>
      </c>
      <c r="L150" s="20" t="b">
        <v>0</v>
      </c>
      <c r="M150" s="107" t="s">
        <v>334</v>
      </c>
      <c r="N150" s="108">
        <v>46175</v>
      </c>
      <c r="O150" s="108">
        <v>46182</v>
      </c>
      <c r="P150" s="108">
        <v>46197</v>
      </c>
      <c r="Q150" s="108">
        <v>46203</v>
      </c>
    </row>
    <row r="151" spans="1:17" ht="18.75" x14ac:dyDescent="0.3">
      <c r="A151" s="22" t="s">
        <v>114</v>
      </c>
      <c r="B151" s="40" t="s">
        <v>103</v>
      </c>
      <c r="C151" s="5">
        <v>14558068210</v>
      </c>
      <c r="D151" s="5">
        <v>71205556</v>
      </c>
      <c r="E151" s="5" t="s">
        <v>267</v>
      </c>
      <c r="F151" s="5" t="s">
        <v>268</v>
      </c>
      <c r="G151" s="5" t="s">
        <v>269</v>
      </c>
      <c r="H151" s="5" t="s">
        <v>275</v>
      </c>
      <c r="I151" s="65" t="s">
        <v>296</v>
      </c>
      <c r="J151" s="18">
        <v>0</v>
      </c>
      <c r="K151" s="13">
        <v>46196</v>
      </c>
      <c r="L151" s="20" t="b">
        <v>0</v>
      </c>
      <c r="M151" s="107" t="s">
        <v>334</v>
      </c>
      <c r="N151" s="108">
        <v>46175</v>
      </c>
      <c r="O151" s="108">
        <v>46182</v>
      </c>
      <c r="P151" s="108">
        <v>46197</v>
      </c>
      <c r="Q151" s="108">
        <v>46203</v>
      </c>
    </row>
    <row r="152" spans="1:17" ht="18.75" x14ac:dyDescent="0.3">
      <c r="A152" s="22" t="s">
        <v>115</v>
      </c>
      <c r="B152" s="40" t="s">
        <v>103</v>
      </c>
      <c r="C152" s="5">
        <v>14558069853</v>
      </c>
      <c r="D152" s="5">
        <v>71205556</v>
      </c>
      <c r="E152" s="5" t="s">
        <v>267</v>
      </c>
      <c r="F152" s="5" t="s">
        <v>268</v>
      </c>
      <c r="G152" s="5" t="s">
        <v>269</v>
      </c>
      <c r="H152" s="16" t="s">
        <v>278</v>
      </c>
      <c r="I152" s="65" t="s">
        <v>296</v>
      </c>
      <c r="J152" s="18">
        <v>0</v>
      </c>
      <c r="K152" s="13">
        <v>46196</v>
      </c>
      <c r="L152" s="20" t="b">
        <v>0</v>
      </c>
      <c r="M152" s="107" t="s">
        <v>334</v>
      </c>
      <c r="N152" s="108">
        <v>46175</v>
      </c>
      <c r="O152" s="108">
        <v>46182</v>
      </c>
      <c r="P152" s="108">
        <v>46197</v>
      </c>
      <c r="Q152" s="108">
        <v>46203</v>
      </c>
    </row>
    <row r="153" spans="1:17" ht="18.75" x14ac:dyDescent="0.3">
      <c r="A153" s="22" t="s">
        <v>116</v>
      </c>
      <c r="B153" s="40" t="s">
        <v>103</v>
      </c>
      <c r="C153" s="5">
        <v>14558069911</v>
      </c>
      <c r="D153" s="5">
        <v>71205556</v>
      </c>
      <c r="E153" s="5" t="s">
        <v>267</v>
      </c>
      <c r="F153" s="5" t="s">
        <v>268</v>
      </c>
      <c r="G153" s="5" t="s">
        <v>269</v>
      </c>
      <c r="H153" s="17" t="s">
        <v>277</v>
      </c>
      <c r="I153" s="65" t="s">
        <v>296</v>
      </c>
      <c r="J153" s="18">
        <v>0</v>
      </c>
      <c r="K153" s="13">
        <v>46196</v>
      </c>
      <c r="L153" s="20" t="b">
        <v>0</v>
      </c>
      <c r="M153" s="107" t="s">
        <v>334</v>
      </c>
      <c r="N153" s="108">
        <v>46175</v>
      </c>
      <c r="O153" s="108">
        <v>46182</v>
      </c>
      <c r="P153" s="108">
        <v>46197</v>
      </c>
      <c r="Q153" s="108">
        <v>46203</v>
      </c>
    </row>
    <row r="154" spans="1:17" ht="18.75" x14ac:dyDescent="0.3">
      <c r="A154" s="22" t="s">
        <v>102</v>
      </c>
      <c r="B154" s="40" t="s">
        <v>103</v>
      </c>
      <c r="C154" s="5">
        <v>14558068954</v>
      </c>
      <c r="D154" s="5">
        <v>82929684</v>
      </c>
      <c r="E154" s="5" t="s">
        <v>267</v>
      </c>
      <c r="F154" s="5" t="s">
        <v>268</v>
      </c>
      <c r="G154" s="5" t="s">
        <v>269</v>
      </c>
      <c r="H154" s="16" t="s">
        <v>278</v>
      </c>
      <c r="I154" s="58" t="s">
        <v>280</v>
      </c>
      <c r="J154" s="18">
        <v>0</v>
      </c>
      <c r="K154" s="13">
        <v>46198</v>
      </c>
      <c r="L154" s="20" t="b">
        <v>0</v>
      </c>
      <c r="M154" s="107" t="s">
        <v>335</v>
      </c>
      <c r="N154" s="108">
        <v>46190</v>
      </c>
      <c r="O154" s="108">
        <v>46197</v>
      </c>
      <c r="P154" s="108">
        <v>46211</v>
      </c>
      <c r="Q154" s="108">
        <v>46217</v>
      </c>
    </row>
    <row r="155" spans="1:17" ht="18.75" x14ac:dyDescent="0.3">
      <c r="A155" s="22" t="s">
        <v>105</v>
      </c>
      <c r="B155" s="40" t="s">
        <v>103</v>
      </c>
      <c r="C155" s="5">
        <v>14558068764</v>
      </c>
      <c r="D155" s="5">
        <v>82929684</v>
      </c>
      <c r="E155" s="5" t="s">
        <v>267</v>
      </c>
      <c r="F155" s="5" t="s">
        <v>268</v>
      </c>
      <c r="G155" s="5" t="s">
        <v>269</v>
      </c>
      <c r="H155" s="5" t="s">
        <v>275</v>
      </c>
      <c r="I155" s="58" t="s">
        <v>280</v>
      </c>
      <c r="J155" s="18">
        <v>0</v>
      </c>
      <c r="K155" s="5"/>
      <c r="L155" s="20" t="b">
        <v>0</v>
      </c>
      <c r="M155" s="107" t="s">
        <v>335</v>
      </c>
      <c r="N155" s="108">
        <v>46190</v>
      </c>
      <c r="O155" s="108">
        <v>46197</v>
      </c>
      <c r="P155" s="108">
        <v>46211</v>
      </c>
      <c r="Q155" s="108">
        <v>46217</v>
      </c>
    </row>
    <row r="156" spans="1:17" ht="18.75" x14ac:dyDescent="0.3">
      <c r="A156" s="22" t="s">
        <v>107</v>
      </c>
      <c r="B156" s="40" t="s">
        <v>103</v>
      </c>
      <c r="C156" s="5">
        <v>14558068822</v>
      </c>
      <c r="D156" s="5">
        <v>82929684</v>
      </c>
      <c r="E156" s="5" t="s">
        <v>267</v>
      </c>
      <c r="F156" s="5" t="s">
        <v>268</v>
      </c>
      <c r="G156" s="5" t="s">
        <v>269</v>
      </c>
      <c r="H156" s="17" t="s">
        <v>277</v>
      </c>
      <c r="I156" s="58" t="s">
        <v>280</v>
      </c>
      <c r="J156" s="18">
        <v>0</v>
      </c>
      <c r="K156" s="5"/>
      <c r="L156" s="20" t="b">
        <v>0</v>
      </c>
      <c r="M156" s="107" t="s">
        <v>335</v>
      </c>
      <c r="N156" s="108">
        <v>46190</v>
      </c>
      <c r="O156" s="108">
        <v>46197</v>
      </c>
      <c r="P156" s="108">
        <v>46211</v>
      </c>
      <c r="Q156" s="108">
        <v>46217</v>
      </c>
    </row>
    <row r="157" spans="1:17" ht="18.75" x14ac:dyDescent="0.3">
      <c r="A157" s="22" t="s">
        <v>108</v>
      </c>
      <c r="B157" s="40" t="s">
        <v>103</v>
      </c>
      <c r="C157" s="5">
        <v>14558068848</v>
      </c>
      <c r="D157" s="5">
        <v>82929684</v>
      </c>
      <c r="E157" s="5" t="s">
        <v>267</v>
      </c>
      <c r="F157" s="5" t="s">
        <v>268</v>
      </c>
      <c r="G157" s="5" t="s">
        <v>269</v>
      </c>
      <c r="H157" s="16" t="s">
        <v>278</v>
      </c>
      <c r="I157" s="58" t="s">
        <v>280</v>
      </c>
      <c r="J157" s="18">
        <v>0</v>
      </c>
      <c r="K157" s="5"/>
      <c r="L157" s="20" t="b">
        <v>0</v>
      </c>
      <c r="M157" s="107" t="s">
        <v>335</v>
      </c>
      <c r="N157" s="108">
        <v>46190</v>
      </c>
      <c r="O157" s="108">
        <v>46197</v>
      </c>
      <c r="P157" s="108">
        <v>46211</v>
      </c>
      <c r="Q157" s="108">
        <v>46217</v>
      </c>
    </row>
    <row r="158" spans="1:17" ht="18.75" x14ac:dyDescent="0.3">
      <c r="A158" s="22" t="s">
        <v>125</v>
      </c>
      <c r="B158" s="43" t="s">
        <v>119</v>
      </c>
      <c r="C158" s="5">
        <v>14558068186</v>
      </c>
      <c r="D158" s="5">
        <v>71205556</v>
      </c>
      <c r="E158" s="5" t="s">
        <v>267</v>
      </c>
      <c r="F158" s="5" t="s">
        <v>268</v>
      </c>
      <c r="G158" s="5" t="s">
        <v>269</v>
      </c>
      <c r="H158" s="5" t="s">
        <v>275</v>
      </c>
      <c r="I158" s="29" t="s">
        <v>290</v>
      </c>
      <c r="J158" s="5">
        <v>0.04</v>
      </c>
      <c r="K158" s="13">
        <v>46195</v>
      </c>
      <c r="L158" s="20" t="b">
        <v>1</v>
      </c>
      <c r="M158" s="107" t="s">
        <v>335</v>
      </c>
      <c r="N158" s="108">
        <v>46140</v>
      </c>
      <c r="O158" s="108">
        <v>46148</v>
      </c>
      <c r="P158" s="108">
        <v>46162</v>
      </c>
      <c r="Q158" s="108">
        <v>46168</v>
      </c>
    </row>
    <row r="159" spans="1:17" ht="18.75" x14ac:dyDescent="0.3">
      <c r="A159" s="22" t="s">
        <v>129</v>
      </c>
      <c r="B159" s="43" t="s">
        <v>119</v>
      </c>
      <c r="C159" s="5">
        <v>14558068319</v>
      </c>
      <c r="D159" s="5">
        <v>71205556</v>
      </c>
      <c r="E159" s="5" t="s">
        <v>267</v>
      </c>
      <c r="F159" s="5" t="s">
        <v>268</v>
      </c>
      <c r="G159" s="5" t="s">
        <v>269</v>
      </c>
      <c r="H159" s="16" t="s">
        <v>278</v>
      </c>
      <c r="I159" s="29" t="s">
        <v>290</v>
      </c>
      <c r="J159" s="5">
        <v>1.56</v>
      </c>
      <c r="K159" s="13">
        <v>46195</v>
      </c>
      <c r="L159" s="20" t="b">
        <v>1</v>
      </c>
      <c r="M159" s="107" t="s">
        <v>335</v>
      </c>
      <c r="N159" s="108">
        <v>46140</v>
      </c>
      <c r="O159" s="108">
        <v>46148</v>
      </c>
      <c r="P159" s="108">
        <v>46162</v>
      </c>
      <c r="Q159" s="108">
        <v>46168</v>
      </c>
    </row>
    <row r="160" spans="1:17" ht="18.75" x14ac:dyDescent="0.3">
      <c r="A160" s="22" t="s">
        <v>132</v>
      </c>
      <c r="B160" s="43" t="s">
        <v>119</v>
      </c>
      <c r="C160" s="5">
        <v>14558069952</v>
      </c>
      <c r="D160" s="5">
        <v>71205556</v>
      </c>
      <c r="E160" s="5" t="s">
        <v>267</v>
      </c>
      <c r="F160" s="5" t="s">
        <v>268</v>
      </c>
      <c r="G160" s="5" t="s">
        <v>269</v>
      </c>
      <c r="H160" s="17" t="s">
        <v>277</v>
      </c>
      <c r="I160" s="29" t="s">
        <v>290</v>
      </c>
      <c r="J160" s="5">
        <v>0.01</v>
      </c>
      <c r="K160" s="13">
        <v>46195</v>
      </c>
      <c r="L160" s="20" t="b">
        <v>1</v>
      </c>
      <c r="M160" s="107" t="s">
        <v>335</v>
      </c>
      <c r="N160" s="108">
        <v>46140</v>
      </c>
      <c r="O160" s="108">
        <v>46148</v>
      </c>
      <c r="P160" s="108">
        <v>46162</v>
      </c>
      <c r="Q160" s="108">
        <v>46168</v>
      </c>
    </row>
    <row r="161" spans="1:17" ht="18.75" x14ac:dyDescent="0.3">
      <c r="A161" s="22" t="s">
        <v>135</v>
      </c>
      <c r="B161" s="43" t="s">
        <v>119</v>
      </c>
      <c r="C161" s="5">
        <v>14558068236</v>
      </c>
      <c r="D161" s="5">
        <v>71205556</v>
      </c>
      <c r="E161" s="5" t="s">
        <v>267</v>
      </c>
      <c r="F161" s="5" t="s">
        <v>268</v>
      </c>
      <c r="G161" s="5" t="s">
        <v>269</v>
      </c>
      <c r="H161" s="17" t="s">
        <v>277</v>
      </c>
      <c r="I161" s="30" t="s">
        <v>287</v>
      </c>
      <c r="J161" s="5">
        <v>4.2300000000000004</v>
      </c>
      <c r="K161" s="13">
        <v>46195</v>
      </c>
      <c r="L161" s="20" t="b">
        <v>1</v>
      </c>
      <c r="M161" s="107" t="s">
        <v>335</v>
      </c>
      <c r="N161" s="108">
        <v>46140</v>
      </c>
      <c r="O161" s="108">
        <v>46148</v>
      </c>
      <c r="P161" s="108">
        <v>46162</v>
      </c>
      <c r="Q161" s="108">
        <v>46168</v>
      </c>
    </row>
    <row r="162" spans="1:17" ht="18.75" x14ac:dyDescent="0.3">
      <c r="A162" s="22" t="s">
        <v>138</v>
      </c>
      <c r="B162" s="43" t="s">
        <v>119</v>
      </c>
      <c r="C162" s="5">
        <v>14558068368</v>
      </c>
      <c r="D162" s="5">
        <v>71205556</v>
      </c>
      <c r="E162" s="5" t="s">
        <v>267</v>
      </c>
      <c r="F162" s="5" t="s">
        <v>268</v>
      </c>
      <c r="G162" s="5" t="s">
        <v>269</v>
      </c>
      <c r="H162" s="5" t="s">
        <v>275</v>
      </c>
      <c r="I162" s="30" t="s">
        <v>287</v>
      </c>
      <c r="J162" s="5">
        <v>5.23</v>
      </c>
      <c r="K162" s="13">
        <v>46195</v>
      </c>
      <c r="L162" s="20" t="b">
        <v>1</v>
      </c>
      <c r="M162" s="107" t="s">
        <v>335</v>
      </c>
      <c r="N162" s="108">
        <v>46140</v>
      </c>
      <c r="O162" s="108">
        <v>46148</v>
      </c>
      <c r="P162" s="108">
        <v>46162</v>
      </c>
      <c r="Q162" s="108">
        <v>46168</v>
      </c>
    </row>
    <row r="163" spans="1:17" ht="18.75" x14ac:dyDescent="0.3">
      <c r="A163" s="22" t="s">
        <v>141</v>
      </c>
      <c r="B163" s="43" t="s">
        <v>119</v>
      </c>
      <c r="C163" s="5">
        <v>14558068392</v>
      </c>
      <c r="D163" s="5">
        <v>71205556</v>
      </c>
      <c r="E163" s="5" t="s">
        <v>267</v>
      </c>
      <c r="F163" s="5" t="s">
        <v>268</v>
      </c>
      <c r="G163" s="5" t="s">
        <v>269</v>
      </c>
      <c r="H163" s="16" t="s">
        <v>278</v>
      </c>
      <c r="I163" s="30" t="s">
        <v>287</v>
      </c>
      <c r="J163" s="5">
        <v>2.74</v>
      </c>
      <c r="K163" s="13">
        <v>46195</v>
      </c>
      <c r="L163" s="20" t="b">
        <v>1</v>
      </c>
      <c r="M163" s="107" t="s">
        <v>335</v>
      </c>
      <c r="N163" s="108">
        <v>46140</v>
      </c>
      <c r="O163" s="108">
        <v>46148</v>
      </c>
      <c r="P163" s="108">
        <v>46162</v>
      </c>
      <c r="Q163" s="108">
        <v>46168</v>
      </c>
    </row>
    <row r="164" spans="1:17" ht="18.75" x14ac:dyDescent="0.3">
      <c r="A164" s="22" t="s">
        <v>236</v>
      </c>
      <c r="B164" s="40" t="s">
        <v>103</v>
      </c>
      <c r="C164" s="5"/>
      <c r="D164" s="5">
        <v>82929684</v>
      </c>
      <c r="E164" s="5" t="s">
        <v>267</v>
      </c>
      <c r="F164" s="5" t="s">
        <v>268</v>
      </c>
      <c r="G164" s="5" t="s">
        <v>269</v>
      </c>
      <c r="H164" s="5"/>
      <c r="I164" s="59" t="s">
        <v>274</v>
      </c>
      <c r="J164" s="18">
        <v>0</v>
      </c>
      <c r="K164" s="5"/>
      <c r="L164" s="20" t="b">
        <v>0</v>
      </c>
      <c r="M164" s="107" t="s">
        <v>336</v>
      </c>
      <c r="N164" s="108">
        <v>46211</v>
      </c>
      <c r="O164" s="108">
        <v>46218</v>
      </c>
      <c r="P164" s="108">
        <v>46232</v>
      </c>
      <c r="Q164" s="108">
        <v>46238</v>
      </c>
    </row>
    <row r="165" spans="1:17" ht="18.75" x14ac:dyDescent="0.3">
      <c r="A165" s="22" t="s">
        <v>238</v>
      </c>
      <c r="B165" s="40" t="s">
        <v>103</v>
      </c>
      <c r="C165" s="5"/>
      <c r="D165" s="5">
        <v>82929684</v>
      </c>
      <c r="E165" s="5" t="s">
        <v>267</v>
      </c>
      <c r="F165" s="5" t="s">
        <v>268</v>
      </c>
      <c r="G165" s="5" t="s">
        <v>269</v>
      </c>
      <c r="H165" s="5"/>
      <c r="I165" s="59" t="s">
        <v>274</v>
      </c>
      <c r="J165" s="18">
        <v>0</v>
      </c>
      <c r="K165" s="5"/>
      <c r="L165" s="20" t="b">
        <v>0</v>
      </c>
      <c r="M165" s="107" t="s">
        <v>336</v>
      </c>
      <c r="N165" s="108">
        <v>46211</v>
      </c>
      <c r="O165" s="108">
        <v>46218</v>
      </c>
      <c r="P165" s="108">
        <v>46232</v>
      </c>
      <c r="Q165" s="108">
        <v>46238</v>
      </c>
    </row>
    <row r="166" spans="1:17" ht="18.75" x14ac:dyDescent="0.3">
      <c r="A166" s="22" t="s">
        <v>240</v>
      </c>
      <c r="B166" s="40" t="s">
        <v>103</v>
      </c>
      <c r="C166" s="5"/>
      <c r="D166" s="5">
        <v>82929684</v>
      </c>
      <c r="E166" s="5" t="s">
        <v>267</v>
      </c>
      <c r="F166" s="5" t="s">
        <v>268</v>
      </c>
      <c r="G166" s="5" t="s">
        <v>269</v>
      </c>
      <c r="H166" s="5"/>
      <c r="I166" s="59" t="s">
        <v>274</v>
      </c>
      <c r="J166" s="18">
        <v>0</v>
      </c>
      <c r="K166" s="5"/>
      <c r="L166" s="20" t="b">
        <v>0</v>
      </c>
      <c r="M166" s="107" t="s">
        <v>336</v>
      </c>
      <c r="N166" s="108">
        <v>46211</v>
      </c>
      <c r="O166" s="108">
        <v>46218</v>
      </c>
      <c r="P166" s="108">
        <v>46232</v>
      </c>
      <c r="Q166" s="108">
        <v>46238</v>
      </c>
    </row>
    <row r="167" spans="1:17" ht="18.75" x14ac:dyDescent="0.3">
      <c r="A167" s="22" t="s">
        <v>242</v>
      </c>
      <c r="B167" s="40" t="s">
        <v>103</v>
      </c>
      <c r="C167" s="5"/>
      <c r="D167" s="5">
        <v>82929684</v>
      </c>
      <c r="E167" s="5" t="s">
        <v>267</v>
      </c>
      <c r="F167" s="5" t="s">
        <v>268</v>
      </c>
      <c r="G167" s="5" t="s">
        <v>269</v>
      </c>
      <c r="H167" s="5"/>
      <c r="I167" s="59" t="s">
        <v>274</v>
      </c>
      <c r="J167" s="18">
        <v>0</v>
      </c>
      <c r="K167" s="5"/>
      <c r="L167" s="20" t="b">
        <v>0</v>
      </c>
      <c r="M167" s="107" t="s">
        <v>336</v>
      </c>
      <c r="N167" s="108">
        <v>46211</v>
      </c>
      <c r="O167" s="108">
        <v>46218</v>
      </c>
      <c r="P167" s="108">
        <v>46232</v>
      </c>
      <c r="Q167" s="108">
        <v>46238</v>
      </c>
    </row>
    <row r="168" spans="1:17" ht="18.75" x14ac:dyDescent="0.3">
      <c r="A168" s="22" t="s">
        <v>244</v>
      </c>
      <c r="B168" s="40" t="s">
        <v>103</v>
      </c>
      <c r="C168" s="5"/>
      <c r="D168" s="5">
        <v>82929684</v>
      </c>
      <c r="E168" s="5" t="s">
        <v>267</v>
      </c>
      <c r="F168" s="5" t="s">
        <v>268</v>
      </c>
      <c r="G168" s="5" t="s">
        <v>269</v>
      </c>
      <c r="H168" s="5"/>
      <c r="I168" s="59" t="s">
        <v>274</v>
      </c>
      <c r="J168" s="18">
        <v>0</v>
      </c>
      <c r="K168" s="5"/>
      <c r="L168" s="20" t="b">
        <v>0</v>
      </c>
      <c r="M168" s="107" t="s">
        <v>336</v>
      </c>
      <c r="N168" s="108">
        <v>46211</v>
      </c>
      <c r="O168" s="108">
        <v>46218</v>
      </c>
      <c r="P168" s="108">
        <v>46232</v>
      </c>
      <c r="Q168" s="108">
        <v>46238</v>
      </c>
    </row>
    <row r="169" spans="1:17" ht="18.75" x14ac:dyDescent="0.3">
      <c r="A169" s="22" t="s">
        <v>246</v>
      </c>
      <c r="B169" s="40" t="s">
        <v>103</v>
      </c>
      <c r="C169" s="5">
        <v>14558069291</v>
      </c>
      <c r="D169" s="5">
        <v>82929684</v>
      </c>
      <c r="E169" s="5" t="s">
        <v>267</v>
      </c>
      <c r="F169" s="5" t="s">
        <v>268</v>
      </c>
      <c r="G169" s="5" t="s">
        <v>269</v>
      </c>
      <c r="H169" s="16" t="s">
        <v>278</v>
      </c>
      <c r="I169" s="58" t="s">
        <v>280</v>
      </c>
      <c r="J169" s="18">
        <v>0</v>
      </c>
      <c r="K169" s="13">
        <v>46198</v>
      </c>
      <c r="L169" s="20" t="b">
        <v>0</v>
      </c>
      <c r="M169" s="107" t="s">
        <v>336</v>
      </c>
      <c r="N169" s="108">
        <v>46211</v>
      </c>
      <c r="O169" s="108">
        <v>46218</v>
      </c>
      <c r="P169" s="108">
        <v>46232</v>
      </c>
      <c r="Q169" s="108">
        <v>46238</v>
      </c>
    </row>
    <row r="170" spans="1:17" ht="18.75" x14ac:dyDescent="0.3">
      <c r="A170" s="22" t="s">
        <v>248</v>
      </c>
      <c r="B170" s="40" t="s">
        <v>103</v>
      </c>
      <c r="C170" s="5">
        <v>14558069036</v>
      </c>
      <c r="D170" s="5">
        <v>82929684</v>
      </c>
      <c r="E170" s="5" t="s">
        <v>267</v>
      </c>
      <c r="F170" s="5" t="s">
        <v>268</v>
      </c>
      <c r="G170" s="5" t="s">
        <v>269</v>
      </c>
      <c r="H170" s="5" t="s">
        <v>275</v>
      </c>
      <c r="I170" s="58" t="s">
        <v>280</v>
      </c>
      <c r="J170" s="18">
        <v>0</v>
      </c>
      <c r="K170" s="13">
        <v>46198</v>
      </c>
      <c r="L170" s="20" t="b">
        <v>0</v>
      </c>
      <c r="M170" s="107" t="s">
        <v>336</v>
      </c>
      <c r="N170" s="108">
        <v>46211</v>
      </c>
      <c r="O170" s="108">
        <v>46218</v>
      </c>
      <c r="P170" s="108">
        <v>46232</v>
      </c>
      <c r="Q170" s="108">
        <v>46238</v>
      </c>
    </row>
    <row r="171" spans="1:17" ht="18.75" x14ac:dyDescent="0.3">
      <c r="A171" s="22" t="s">
        <v>250</v>
      </c>
      <c r="B171" s="40" t="s">
        <v>103</v>
      </c>
      <c r="C171" s="5">
        <v>14558068897</v>
      </c>
      <c r="D171" s="5">
        <v>82929684</v>
      </c>
      <c r="E171" s="5" t="s">
        <v>267</v>
      </c>
      <c r="F171" s="5" t="s">
        <v>268</v>
      </c>
      <c r="G171" s="5" t="s">
        <v>269</v>
      </c>
      <c r="H171" s="17" t="s">
        <v>277</v>
      </c>
      <c r="I171" s="58" t="s">
        <v>280</v>
      </c>
      <c r="J171" s="18">
        <v>0</v>
      </c>
      <c r="K171" s="13">
        <v>46198</v>
      </c>
      <c r="L171" s="20" t="b">
        <v>0</v>
      </c>
      <c r="M171" s="107" t="s">
        <v>336</v>
      </c>
      <c r="N171" s="108">
        <v>46211</v>
      </c>
      <c r="O171" s="108">
        <v>46218</v>
      </c>
      <c r="P171" s="108">
        <v>46232</v>
      </c>
      <c r="Q171" s="108">
        <v>46238</v>
      </c>
    </row>
    <row r="172" spans="1:17" ht="18.75" x14ac:dyDescent="0.3">
      <c r="A172" s="22" t="s">
        <v>228</v>
      </c>
      <c r="B172" s="40" t="s">
        <v>103</v>
      </c>
      <c r="C172" s="5"/>
      <c r="D172" s="5">
        <v>82929684</v>
      </c>
      <c r="E172" s="5" t="s">
        <v>267</v>
      </c>
      <c r="F172" s="5" t="s">
        <v>268</v>
      </c>
      <c r="G172" s="5" t="s">
        <v>269</v>
      </c>
      <c r="H172" s="5"/>
      <c r="I172" s="49" t="s">
        <v>293</v>
      </c>
      <c r="J172" s="18">
        <v>0</v>
      </c>
      <c r="K172" s="5"/>
      <c r="L172" s="20" t="b">
        <v>0</v>
      </c>
      <c r="M172" s="107" t="s">
        <v>341</v>
      </c>
      <c r="N172" s="108">
        <v>46224</v>
      </c>
      <c r="O172" s="108">
        <v>46231</v>
      </c>
      <c r="P172" s="108">
        <v>46246</v>
      </c>
      <c r="Q172" s="108">
        <v>46252</v>
      </c>
    </row>
    <row r="173" spans="1:17" ht="18.75" x14ac:dyDescent="0.3">
      <c r="A173" s="22" t="s">
        <v>229</v>
      </c>
      <c r="B173" s="40" t="s">
        <v>103</v>
      </c>
      <c r="C173" s="5"/>
      <c r="D173" s="5">
        <v>82929684</v>
      </c>
      <c r="E173" s="5" t="s">
        <v>267</v>
      </c>
      <c r="F173" s="5" t="s">
        <v>268</v>
      </c>
      <c r="G173" s="5" t="s">
        <v>269</v>
      </c>
      <c r="H173" s="5"/>
      <c r="I173" s="48" t="s">
        <v>292</v>
      </c>
      <c r="J173" s="18">
        <v>0</v>
      </c>
      <c r="K173" s="5"/>
      <c r="L173" s="20" t="b">
        <v>0</v>
      </c>
      <c r="M173" s="107" t="s">
        <v>341</v>
      </c>
      <c r="N173" s="108">
        <v>46224</v>
      </c>
      <c r="O173" s="108">
        <v>46231</v>
      </c>
      <c r="P173" s="108">
        <v>46246</v>
      </c>
      <c r="Q173" s="108">
        <v>46252</v>
      </c>
    </row>
    <row r="174" spans="1:17" ht="18.75" x14ac:dyDescent="0.3">
      <c r="A174" s="22" t="s">
        <v>230</v>
      </c>
      <c r="B174" s="40" t="s">
        <v>103</v>
      </c>
      <c r="C174" s="5"/>
      <c r="D174" s="5">
        <v>82929684</v>
      </c>
      <c r="E174" s="5" t="s">
        <v>267</v>
      </c>
      <c r="F174" s="5" t="s">
        <v>268</v>
      </c>
      <c r="G174" s="5" t="s">
        <v>269</v>
      </c>
      <c r="H174" s="5"/>
      <c r="I174" s="48" t="s">
        <v>292</v>
      </c>
      <c r="J174" s="18">
        <v>0</v>
      </c>
      <c r="K174" s="5"/>
      <c r="L174" s="20" t="b">
        <v>0</v>
      </c>
      <c r="M174" s="107" t="s">
        <v>341</v>
      </c>
      <c r="N174" s="108">
        <v>46224</v>
      </c>
      <c r="O174" s="108">
        <v>46231</v>
      </c>
      <c r="P174" s="108">
        <v>46246</v>
      </c>
      <c r="Q174" s="108">
        <v>46252</v>
      </c>
    </row>
    <row r="175" spans="1:17" ht="18.75" x14ac:dyDescent="0.3">
      <c r="A175" s="22" t="s">
        <v>231</v>
      </c>
      <c r="B175" s="40" t="s">
        <v>103</v>
      </c>
      <c r="C175" s="5"/>
      <c r="D175" s="5">
        <v>82929684</v>
      </c>
      <c r="E175" s="5" t="s">
        <v>267</v>
      </c>
      <c r="F175" s="5" t="s">
        <v>268</v>
      </c>
      <c r="G175" s="5" t="s">
        <v>269</v>
      </c>
      <c r="H175" s="5"/>
      <c r="I175" s="48" t="s">
        <v>292</v>
      </c>
      <c r="J175" s="18">
        <v>0</v>
      </c>
      <c r="K175" s="5"/>
      <c r="L175" s="20" t="b">
        <v>0</v>
      </c>
      <c r="M175" s="107" t="s">
        <v>341</v>
      </c>
      <c r="N175" s="108">
        <v>46224</v>
      </c>
      <c r="O175" s="108">
        <v>46231</v>
      </c>
      <c r="P175" s="108">
        <v>46246</v>
      </c>
      <c r="Q175" s="108">
        <v>46252</v>
      </c>
    </row>
    <row r="176" spans="1:17" ht="18.75" x14ac:dyDescent="0.3">
      <c r="A176" s="22" t="s">
        <v>232</v>
      </c>
      <c r="B176" s="40" t="s">
        <v>103</v>
      </c>
      <c r="C176" s="5"/>
      <c r="D176" s="5">
        <v>82929684</v>
      </c>
      <c r="E176" s="5" t="s">
        <v>267</v>
      </c>
      <c r="F176" s="5" t="s">
        <v>268</v>
      </c>
      <c r="G176" s="5" t="s">
        <v>269</v>
      </c>
      <c r="H176" s="5"/>
      <c r="I176" s="48" t="s">
        <v>292</v>
      </c>
      <c r="J176" s="18">
        <v>0</v>
      </c>
      <c r="K176" s="5"/>
      <c r="L176" s="20" t="b">
        <v>0</v>
      </c>
      <c r="M176" s="107" t="s">
        <v>341</v>
      </c>
      <c r="N176" s="108">
        <v>46224</v>
      </c>
      <c r="O176" s="108">
        <v>46231</v>
      </c>
      <c r="P176" s="108">
        <v>46246</v>
      </c>
      <c r="Q176" s="108">
        <v>46252</v>
      </c>
    </row>
    <row r="177" spans="1:17" ht="18.75" x14ac:dyDescent="0.3">
      <c r="A177" s="22" t="s">
        <v>233</v>
      </c>
      <c r="B177" s="40" t="s">
        <v>103</v>
      </c>
      <c r="C177" s="5"/>
      <c r="D177" s="5">
        <v>82929684</v>
      </c>
      <c r="E177" s="5" t="s">
        <v>267</v>
      </c>
      <c r="F177" s="5" t="s">
        <v>268</v>
      </c>
      <c r="G177" s="5" t="s">
        <v>269</v>
      </c>
      <c r="H177" s="5"/>
      <c r="I177" s="48" t="s">
        <v>292</v>
      </c>
      <c r="J177" s="18">
        <v>0</v>
      </c>
      <c r="K177" s="5"/>
      <c r="L177" s="20" t="b">
        <v>0</v>
      </c>
      <c r="M177" s="107" t="s">
        <v>341</v>
      </c>
      <c r="N177" s="108">
        <v>46224</v>
      </c>
      <c r="O177" s="108">
        <v>46231</v>
      </c>
      <c r="P177" s="108">
        <v>46246</v>
      </c>
      <c r="Q177" s="108">
        <v>46252</v>
      </c>
    </row>
    <row r="178" spans="1:17" ht="18.75" x14ac:dyDescent="0.3">
      <c r="A178" s="22" t="s">
        <v>234</v>
      </c>
      <c r="B178" s="40" t="s">
        <v>103</v>
      </c>
      <c r="C178" s="5"/>
      <c r="D178" s="5">
        <v>82929684</v>
      </c>
      <c r="E178" s="5" t="s">
        <v>267</v>
      </c>
      <c r="F178" s="5" t="s">
        <v>268</v>
      </c>
      <c r="G178" s="5" t="s">
        <v>269</v>
      </c>
      <c r="H178" s="5"/>
      <c r="I178" s="48" t="s">
        <v>292</v>
      </c>
      <c r="J178" s="18">
        <v>0</v>
      </c>
      <c r="K178" s="5"/>
      <c r="L178" s="20" t="b">
        <v>0</v>
      </c>
      <c r="M178" s="107" t="s">
        <v>341</v>
      </c>
      <c r="N178" s="108">
        <v>46224</v>
      </c>
      <c r="O178" s="108">
        <v>46231</v>
      </c>
      <c r="P178" s="108">
        <v>46246</v>
      </c>
      <c r="Q178" s="108">
        <v>46252</v>
      </c>
    </row>
    <row r="179" spans="1:17" ht="18.75" x14ac:dyDescent="0.3">
      <c r="A179" s="22" t="s">
        <v>235</v>
      </c>
      <c r="B179" s="40" t="s">
        <v>103</v>
      </c>
      <c r="C179" s="5"/>
      <c r="D179" s="5">
        <v>82929684</v>
      </c>
      <c r="E179" s="5" t="s">
        <v>267</v>
      </c>
      <c r="F179" s="5" t="s">
        <v>268</v>
      </c>
      <c r="G179" s="5" t="s">
        <v>269</v>
      </c>
      <c r="H179" s="5"/>
      <c r="I179" s="59" t="s">
        <v>274</v>
      </c>
      <c r="J179" s="18">
        <v>0</v>
      </c>
      <c r="K179" s="5"/>
      <c r="L179" s="20" t="b">
        <v>0</v>
      </c>
      <c r="M179" s="107" t="s">
        <v>341</v>
      </c>
      <c r="N179" s="108">
        <v>46224</v>
      </c>
      <c r="O179" s="108">
        <v>46231</v>
      </c>
      <c r="P179" s="108">
        <v>46246</v>
      </c>
      <c r="Q179" s="108">
        <v>46252</v>
      </c>
    </row>
    <row r="180" spans="1:17" ht="18.75" x14ac:dyDescent="0.3">
      <c r="A180" s="22" t="s">
        <v>222</v>
      </c>
      <c r="B180" s="42" t="s">
        <v>223</v>
      </c>
      <c r="C180" s="5"/>
      <c r="D180" s="5">
        <v>82929684</v>
      </c>
      <c r="E180" s="5" t="s">
        <v>267</v>
      </c>
      <c r="F180" s="5" t="s">
        <v>268</v>
      </c>
      <c r="G180" s="5" t="s">
        <v>269</v>
      </c>
      <c r="H180" s="5"/>
      <c r="I180" s="49" t="s">
        <v>293</v>
      </c>
      <c r="J180" s="18">
        <v>0</v>
      </c>
      <c r="K180" s="5"/>
      <c r="L180" s="20" t="b">
        <v>0</v>
      </c>
      <c r="M180" s="107" t="s">
        <v>342</v>
      </c>
      <c r="N180" s="108">
        <v>46238</v>
      </c>
      <c r="O180" s="108">
        <v>46246</v>
      </c>
      <c r="P180" s="108">
        <v>46260</v>
      </c>
      <c r="Q180" s="108">
        <v>46266</v>
      </c>
    </row>
    <row r="181" spans="1:17" ht="18.75" x14ac:dyDescent="0.3">
      <c r="A181" s="22" t="s">
        <v>224</v>
      </c>
      <c r="B181" s="40" t="s">
        <v>103</v>
      </c>
      <c r="C181" s="5"/>
      <c r="D181" s="5">
        <v>82929684</v>
      </c>
      <c r="E181" s="5" t="s">
        <v>267</v>
      </c>
      <c r="F181" s="5" t="s">
        <v>268</v>
      </c>
      <c r="G181" s="5" t="s">
        <v>269</v>
      </c>
      <c r="H181" s="5"/>
      <c r="I181" s="49" t="s">
        <v>293</v>
      </c>
      <c r="J181" s="18">
        <v>0</v>
      </c>
      <c r="K181" s="5"/>
      <c r="L181" s="20" t="b">
        <v>0</v>
      </c>
      <c r="M181" s="107" t="s">
        <v>342</v>
      </c>
      <c r="N181" s="108">
        <v>46238</v>
      </c>
      <c r="O181" s="108">
        <v>46246</v>
      </c>
      <c r="P181" s="108">
        <v>46260</v>
      </c>
      <c r="Q181" s="108">
        <v>46266</v>
      </c>
    </row>
    <row r="182" spans="1:17" ht="18.75" x14ac:dyDescent="0.3">
      <c r="A182" s="22" t="s">
        <v>225</v>
      </c>
      <c r="B182" s="40" t="s">
        <v>103</v>
      </c>
      <c r="C182" s="5"/>
      <c r="D182" s="5">
        <v>82929684</v>
      </c>
      <c r="E182" s="5" t="s">
        <v>267</v>
      </c>
      <c r="F182" s="5" t="s">
        <v>268</v>
      </c>
      <c r="G182" s="5" t="s">
        <v>269</v>
      </c>
      <c r="H182" s="5"/>
      <c r="I182" s="49" t="s">
        <v>293</v>
      </c>
      <c r="J182" s="18">
        <v>0</v>
      </c>
      <c r="K182" s="5"/>
      <c r="L182" s="20" t="b">
        <v>0</v>
      </c>
      <c r="M182" s="107" t="s">
        <v>342</v>
      </c>
      <c r="N182" s="108">
        <v>46238</v>
      </c>
      <c r="O182" s="108">
        <v>46246</v>
      </c>
      <c r="P182" s="108">
        <v>46260</v>
      </c>
      <c r="Q182" s="108">
        <v>46266</v>
      </c>
    </row>
    <row r="183" spans="1:17" ht="18.75" x14ac:dyDescent="0.3">
      <c r="A183" s="22" t="s">
        <v>226</v>
      </c>
      <c r="B183" s="40" t="s">
        <v>103</v>
      </c>
      <c r="C183" s="5"/>
      <c r="D183" s="5">
        <v>82929684</v>
      </c>
      <c r="E183" s="5" t="s">
        <v>267</v>
      </c>
      <c r="F183" s="5" t="s">
        <v>268</v>
      </c>
      <c r="G183" s="5" t="s">
        <v>269</v>
      </c>
      <c r="H183" s="5"/>
      <c r="I183" s="49" t="s">
        <v>293</v>
      </c>
      <c r="J183" s="18">
        <v>0</v>
      </c>
      <c r="K183" s="5"/>
      <c r="L183" s="20" t="b">
        <v>0</v>
      </c>
      <c r="M183" s="107" t="s">
        <v>342</v>
      </c>
      <c r="N183" s="108">
        <v>46238</v>
      </c>
      <c r="O183" s="108">
        <v>46246</v>
      </c>
      <c r="P183" s="108">
        <v>46260</v>
      </c>
      <c r="Q183" s="108">
        <v>46266</v>
      </c>
    </row>
    <row r="184" spans="1:17" ht="18.75" x14ac:dyDescent="0.3">
      <c r="A184" s="22" t="s">
        <v>227</v>
      </c>
      <c r="B184" s="40" t="s">
        <v>103</v>
      </c>
      <c r="C184" s="5"/>
      <c r="D184" s="5">
        <v>82929684</v>
      </c>
      <c r="E184" s="5" t="s">
        <v>267</v>
      </c>
      <c r="F184" s="5" t="s">
        <v>268</v>
      </c>
      <c r="G184" s="5" t="s">
        <v>269</v>
      </c>
      <c r="H184" s="5"/>
      <c r="I184" s="49" t="s">
        <v>293</v>
      </c>
      <c r="J184" s="18">
        <v>0</v>
      </c>
      <c r="K184" s="5"/>
      <c r="L184" s="20" t="b">
        <v>0</v>
      </c>
      <c r="M184" s="107" t="s">
        <v>342</v>
      </c>
      <c r="N184" s="108">
        <v>46238</v>
      </c>
      <c r="O184" s="108">
        <v>46246</v>
      </c>
      <c r="P184" s="108">
        <v>46260</v>
      </c>
      <c r="Q184" s="108">
        <v>46266</v>
      </c>
    </row>
    <row r="185" spans="1:17" ht="18.75" x14ac:dyDescent="0.3">
      <c r="A185" s="22" t="s">
        <v>74</v>
      </c>
      <c r="B185" s="44" t="s">
        <v>16</v>
      </c>
      <c r="C185" s="5">
        <v>14558070083</v>
      </c>
      <c r="D185" s="5">
        <v>82929684</v>
      </c>
      <c r="E185" s="5" t="s">
        <v>267</v>
      </c>
      <c r="F185" s="5" t="s">
        <v>268</v>
      </c>
      <c r="G185" s="5" t="s">
        <v>269</v>
      </c>
      <c r="H185" s="17" t="s">
        <v>277</v>
      </c>
      <c r="I185" s="60" t="s">
        <v>286</v>
      </c>
      <c r="J185" s="18">
        <v>0</v>
      </c>
      <c r="K185" s="13">
        <v>46197</v>
      </c>
      <c r="L185" s="20" t="b">
        <v>0</v>
      </c>
      <c r="M185" s="107" t="s">
        <v>343</v>
      </c>
      <c r="N185" s="108">
        <v>46153</v>
      </c>
      <c r="O185" s="108">
        <v>46160</v>
      </c>
      <c r="P185" s="108">
        <v>46174</v>
      </c>
      <c r="Q185" s="108">
        <v>46179</v>
      </c>
    </row>
    <row r="186" spans="1:17" ht="18.75" x14ac:dyDescent="0.3">
      <c r="A186" s="22" t="s">
        <v>78</v>
      </c>
      <c r="B186" s="44" t="s">
        <v>16</v>
      </c>
      <c r="C186" s="5">
        <v>14558068384</v>
      </c>
      <c r="D186" s="5">
        <v>82929684</v>
      </c>
      <c r="E186" s="5" t="s">
        <v>267</v>
      </c>
      <c r="F186" s="5" t="s">
        <v>268</v>
      </c>
      <c r="G186" s="5" t="s">
        <v>269</v>
      </c>
      <c r="H186" s="5" t="s">
        <v>275</v>
      </c>
      <c r="I186" s="60" t="s">
        <v>286</v>
      </c>
      <c r="J186" s="18">
        <v>0</v>
      </c>
      <c r="K186" s="13">
        <v>46197</v>
      </c>
      <c r="L186" s="20" t="b">
        <v>0</v>
      </c>
      <c r="M186" s="107" t="s">
        <v>343</v>
      </c>
      <c r="N186" s="108">
        <v>46153</v>
      </c>
      <c r="O186" s="108">
        <v>46160</v>
      </c>
      <c r="P186" s="108">
        <v>46174</v>
      </c>
      <c r="Q186" s="108">
        <v>46179</v>
      </c>
    </row>
    <row r="187" spans="1:17" ht="18.75" x14ac:dyDescent="0.3">
      <c r="A187" s="22" t="s">
        <v>82</v>
      </c>
      <c r="B187" s="44" t="s">
        <v>16</v>
      </c>
      <c r="C187" s="5">
        <v>14558067972</v>
      </c>
      <c r="D187" s="5">
        <v>82929684</v>
      </c>
      <c r="E187" s="5" t="s">
        <v>267</v>
      </c>
      <c r="F187" s="5" t="s">
        <v>268</v>
      </c>
      <c r="G187" s="5" t="s">
        <v>269</v>
      </c>
      <c r="H187" s="16" t="s">
        <v>278</v>
      </c>
      <c r="I187" s="60" t="s">
        <v>286</v>
      </c>
      <c r="J187" s="18">
        <v>0</v>
      </c>
      <c r="K187" s="13">
        <v>46197</v>
      </c>
      <c r="L187" s="20" t="b">
        <v>0</v>
      </c>
      <c r="M187" s="107" t="s">
        <v>343</v>
      </c>
      <c r="N187" s="108">
        <v>46153</v>
      </c>
      <c r="O187" s="108">
        <v>46160</v>
      </c>
      <c r="P187" s="108">
        <v>46174</v>
      </c>
      <c r="Q187" s="108">
        <v>46179</v>
      </c>
    </row>
    <row r="188" spans="1:17" ht="18.75" x14ac:dyDescent="0.3">
      <c r="A188" s="22" t="s">
        <v>85</v>
      </c>
      <c r="B188" s="44" t="s">
        <v>16</v>
      </c>
      <c r="C188" s="5">
        <v>14558069267</v>
      </c>
      <c r="D188" s="5">
        <v>82929684</v>
      </c>
      <c r="E188" s="5" t="s">
        <v>267</v>
      </c>
      <c r="F188" s="5" t="s">
        <v>268</v>
      </c>
      <c r="G188" s="5" t="s">
        <v>269</v>
      </c>
      <c r="H188" s="17" t="s">
        <v>277</v>
      </c>
      <c r="I188" s="60" t="s">
        <v>286</v>
      </c>
      <c r="J188" s="18">
        <v>0</v>
      </c>
      <c r="K188" s="13">
        <v>46197</v>
      </c>
      <c r="L188" s="20" t="b">
        <v>0</v>
      </c>
      <c r="M188" s="107" t="s">
        <v>343</v>
      </c>
      <c r="N188" s="108">
        <v>46153</v>
      </c>
      <c r="O188" s="108">
        <v>46160</v>
      </c>
      <c r="P188" s="108">
        <v>46174</v>
      </c>
      <c r="Q188" s="108">
        <v>46179</v>
      </c>
    </row>
    <row r="189" spans="1:17" ht="18.75" x14ac:dyDescent="0.3">
      <c r="A189" s="22" t="s">
        <v>88</v>
      </c>
      <c r="B189" s="44" t="s">
        <v>16</v>
      </c>
      <c r="C189" s="5">
        <v>14558070026</v>
      </c>
      <c r="D189" s="5">
        <v>82929684</v>
      </c>
      <c r="E189" s="5" t="s">
        <v>267</v>
      </c>
      <c r="F189" s="5" t="s">
        <v>268</v>
      </c>
      <c r="G189" s="5" t="s">
        <v>269</v>
      </c>
      <c r="H189" s="5" t="s">
        <v>275</v>
      </c>
      <c r="I189" s="61" t="s">
        <v>283</v>
      </c>
      <c r="J189" s="18">
        <v>0</v>
      </c>
      <c r="K189" s="13">
        <v>46197</v>
      </c>
      <c r="L189" s="20" t="b">
        <v>0</v>
      </c>
      <c r="M189" s="107" t="s">
        <v>343</v>
      </c>
      <c r="N189" s="108">
        <v>46153</v>
      </c>
      <c r="O189" s="108">
        <v>46160</v>
      </c>
      <c r="P189" s="108">
        <v>46174</v>
      </c>
      <c r="Q189" s="108">
        <v>46179</v>
      </c>
    </row>
    <row r="190" spans="1:17" ht="18.75" x14ac:dyDescent="0.3">
      <c r="A190" s="22" t="s">
        <v>92</v>
      </c>
      <c r="B190" s="44" t="s">
        <v>16</v>
      </c>
      <c r="C190" s="5">
        <v>14558069176</v>
      </c>
      <c r="D190" s="5">
        <v>82929684</v>
      </c>
      <c r="E190" s="5" t="s">
        <v>267</v>
      </c>
      <c r="F190" s="5" t="s">
        <v>268</v>
      </c>
      <c r="G190" s="5" t="s">
        <v>269</v>
      </c>
      <c r="H190" s="5" t="s">
        <v>277</v>
      </c>
      <c r="I190" s="61" t="s">
        <v>283</v>
      </c>
      <c r="J190" s="18">
        <v>0</v>
      </c>
      <c r="K190" s="13">
        <v>46197</v>
      </c>
      <c r="L190" s="20" t="b">
        <v>0</v>
      </c>
      <c r="M190" s="107" t="s">
        <v>343</v>
      </c>
      <c r="N190" s="108">
        <v>46153</v>
      </c>
      <c r="O190" s="108">
        <v>46160</v>
      </c>
      <c r="P190" s="108">
        <v>46174</v>
      </c>
      <c r="Q190" s="108">
        <v>46179</v>
      </c>
    </row>
    <row r="191" spans="1:17" ht="18.75" x14ac:dyDescent="0.3">
      <c r="A191" s="22" t="s">
        <v>96</v>
      </c>
      <c r="B191" s="44" t="s">
        <v>16</v>
      </c>
      <c r="C191" s="5">
        <v>14558070000</v>
      </c>
      <c r="D191" s="5">
        <v>82929684</v>
      </c>
      <c r="E191" s="5" t="s">
        <v>267</v>
      </c>
      <c r="F191" s="5" t="s">
        <v>268</v>
      </c>
      <c r="G191" s="5" t="s">
        <v>269</v>
      </c>
      <c r="H191" s="5" t="s">
        <v>277</v>
      </c>
      <c r="I191" s="61" t="s">
        <v>283</v>
      </c>
      <c r="J191" s="18">
        <v>0</v>
      </c>
      <c r="K191" s="13">
        <v>46197</v>
      </c>
      <c r="L191" s="20" t="b">
        <v>0</v>
      </c>
      <c r="M191" s="107" t="s">
        <v>343</v>
      </c>
      <c r="N191" s="108">
        <v>46153</v>
      </c>
      <c r="O191" s="108">
        <v>46160</v>
      </c>
      <c r="P191" s="108">
        <v>46174</v>
      </c>
      <c r="Q191" s="108">
        <v>46179</v>
      </c>
    </row>
    <row r="192" spans="1:17" ht="18.75" x14ac:dyDescent="0.3">
      <c r="A192" s="22" t="s">
        <v>100</v>
      </c>
      <c r="B192" s="44" t="s">
        <v>16</v>
      </c>
      <c r="C192" s="5">
        <v>14558070109</v>
      </c>
      <c r="D192" s="5">
        <v>82929684</v>
      </c>
      <c r="E192" s="5" t="s">
        <v>267</v>
      </c>
      <c r="F192" s="5" t="s">
        <v>268</v>
      </c>
      <c r="G192" s="5" t="s">
        <v>269</v>
      </c>
      <c r="H192" s="5" t="s">
        <v>277</v>
      </c>
      <c r="I192" s="61" t="s">
        <v>283</v>
      </c>
      <c r="J192" s="18">
        <v>0</v>
      </c>
      <c r="K192" s="13">
        <v>46197</v>
      </c>
      <c r="L192" s="20" t="b">
        <v>0</v>
      </c>
      <c r="M192" s="107" t="s">
        <v>343</v>
      </c>
      <c r="N192" s="108">
        <v>46153</v>
      </c>
      <c r="O192" s="108">
        <v>46160</v>
      </c>
      <c r="P192" s="108">
        <v>46174</v>
      </c>
      <c r="Q192" s="108">
        <v>46179</v>
      </c>
    </row>
  </sheetData>
  <sortState xmlns:xlrd2="http://schemas.microsoft.com/office/spreadsheetml/2017/richdata2" ref="A2:Q192">
    <sortCondition ref="M2:M192"/>
  </sortState>
  <phoneticPr fontId="8" type="noConversion"/>
  <conditionalFormatting sqref="C117:C122">
    <cfRule type="duplicateValues" dxfId="4" priority="2"/>
  </conditionalFormatting>
  <conditionalFormatting sqref="C124:C132">
    <cfRule type="duplicateValues" dxfId="3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93FC0-6D15-40D2-9100-0C4EDEC8F020}">
  <dimension ref="A1:K31"/>
  <sheetViews>
    <sheetView workbookViewId="0">
      <selection activeCell="K36" sqref="K36"/>
    </sheetView>
  </sheetViews>
  <sheetFormatPr defaultRowHeight="13.5" x14ac:dyDescent="0.3"/>
  <cols>
    <col min="1" max="1" width="7.46484375" bestFit="1" customWidth="1"/>
    <col min="2" max="2" width="9.46484375" bestFit="1" customWidth="1"/>
    <col min="3" max="3" width="12.46484375" bestFit="1" customWidth="1"/>
    <col min="4" max="4" width="7.46484375" bestFit="1" customWidth="1"/>
    <col min="5" max="5" width="7.1328125" bestFit="1" customWidth="1"/>
    <col min="6" max="6" width="8.1328125" customWidth="1"/>
    <col min="7" max="7" width="15.46484375" bestFit="1" customWidth="1"/>
    <col min="10" max="10" width="11.796875" bestFit="1" customWidth="1"/>
    <col min="11" max="11" width="18.86328125" customWidth="1"/>
  </cols>
  <sheetData>
    <row r="1" spans="1:11" ht="14.65" x14ac:dyDescent="0.45">
      <c r="A1" s="100" t="s">
        <v>304</v>
      </c>
      <c r="B1" s="100" t="s">
        <v>305</v>
      </c>
      <c r="C1" s="100" t="s">
        <v>306</v>
      </c>
      <c r="D1" s="101" t="s">
        <v>307</v>
      </c>
      <c r="E1" s="101"/>
      <c r="F1" s="101"/>
      <c r="G1" s="101" t="s">
        <v>308</v>
      </c>
      <c r="H1" s="101"/>
      <c r="I1" s="101"/>
      <c r="J1" s="28"/>
      <c r="K1" s="77" t="s">
        <v>266</v>
      </c>
    </row>
    <row r="2" spans="1:11" ht="14.65" x14ac:dyDescent="0.45">
      <c r="A2" s="100"/>
      <c r="B2" s="100"/>
      <c r="C2" s="100"/>
      <c r="D2" s="27" t="s">
        <v>309</v>
      </c>
      <c r="E2" s="27" t="s">
        <v>310</v>
      </c>
      <c r="F2" s="27" t="s">
        <v>311</v>
      </c>
      <c r="G2" s="27" t="s">
        <v>312</v>
      </c>
      <c r="H2" s="35" t="s">
        <v>310</v>
      </c>
      <c r="I2" s="35" t="s">
        <v>311</v>
      </c>
      <c r="J2" s="27" t="s">
        <v>313</v>
      </c>
      <c r="K2" s="78"/>
    </row>
    <row r="3" spans="1:11" x14ac:dyDescent="0.3">
      <c r="A3" s="36">
        <v>1</v>
      </c>
      <c r="B3" s="47">
        <v>82929702</v>
      </c>
      <c r="C3" s="36" t="s">
        <v>273</v>
      </c>
      <c r="D3" s="36">
        <v>8</v>
      </c>
      <c r="E3" s="37">
        <f>IF(D3&lt;=8, 1,0)</f>
        <v>1</v>
      </c>
      <c r="F3" s="37">
        <f>IF(D3&gt;8,1,0)</f>
        <v>0</v>
      </c>
      <c r="G3" s="36">
        <v>8</v>
      </c>
      <c r="H3" s="37">
        <f>IF(G3&lt;=8, 1,0)</f>
        <v>1</v>
      </c>
      <c r="I3" s="37">
        <f>IF(G3&gt;8,1,0)</f>
        <v>0</v>
      </c>
      <c r="J3" s="36">
        <f>G3-D3</f>
        <v>0</v>
      </c>
      <c r="K3" s="78"/>
    </row>
    <row r="4" spans="1:11" x14ac:dyDescent="0.3">
      <c r="A4" s="36">
        <v>1</v>
      </c>
      <c r="B4" s="47">
        <v>82929702</v>
      </c>
      <c r="C4" s="36" t="s">
        <v>279</v>
      </c>
      <c r="D4" s="36">
        <v>7</v>
      </c>
      <c r="E4" s="37">
        <f t="shared" ref="E4:E26" si="0">IF(D4&lt;=8, 1,0)</f>
        <v>1</v>
      </c>
      <c r="F4" s="37">
        <f t="shared" ref="F4:F29" si="1">IF(D4&gt;8,1,0)</f>
        <v>0</v>
      </c>
      <c r="G4" s="36">
        <v>7</v>
      </c>
      <c r="H4" s="37">
        <f t="shared" ref="H4:H29" si="2">IF(G4&lt;=8, 1,0)</f>
        <v>1</v>
      </c>
      <c r="I4" s="37">
        <f t="shared" ref="I4:I29" si="3">IF(G4&gt;8,1,0)</f>
        <v>0</v>
      </c>
      <c r="J4" s="36">
        <f t="shared" ref="J4:J29" si="4">G4-D4</f>
        <v>0</v>
      </c>
      <c r="K4" s="78"/>
    </row>
    <row r="5" spans="1:11" x14ac:dyDescent="0.3">
      <c r="A5" s="36">
        <v>1</v>
      </c>
      <c r="B5" s="47">
        <v>82929702</v>
      </c>
      <c r="C5" s="36" t="s">
        <v>282</v>
      </c>
      <c r="D5" s="36">
        <v>9</v>
      </c>
      <c r="E5" s="37">
        <f t="shared" si="0"/>
        <v>0</v>
      </c>
      <c r="F5" s="37">
        <f t="shared" si="1"/>
        <v>1</v>
      </c>
      <c r="G5" s="36">
        <v>9</v>
      </c>
      <c r="H5" s="37">
        <f t="shared" si="2"/>
        <v>0</v>
      </c>
      <c r="I5" s="37">
        <f t="shared" si="3"/>
        <v>1</v>
      </c>
      <c r="J5" s="36">
        <f t="shared" si="4"/>
        <v>0</v>
      </c>
      <c r="K5" s="78"/>
    </row>
    <row r="6" spans="1:11" x14ac:dyDescent="0.3">
      <c r="A6" s="36">
        <v>1</v>
      </c>
      <c r="B6" s="47">
        <v>82929702</v>
      </c>
      <c r="C6" s="36" t="s">
        <v>285</v>
      </c>
      <c r="D6" s="36">
        <v>9</v>
      </c>
      <c r="E6" s="37">
        <f t="shared" si="0"/>
        <v>0</v>
      </c>
      <c r="F6" s="37">
        <f t="shared" si="1"/>
        <v>1</v>
      </c>
      <c r="G6" s="36">
        <v>9</v>
      </c>
      <c r="H6" s="37">
        <f t="shared" si="2"/>
        <v>0</v>
      </c>
      <c r="I6" s="37">
        <f t="shared" si="3"/>
        <v>1</v>
      </c>
      <c r="J6" s="36">
        <f t="shared" si="4"/>
        <v>0</v>
      </c>
      <c r="K6" s="78"/>
    </row>
    <row r="7" spans="1:11" x14ac:dyDescent="0.3">
      <c r="A7" s="36">
        <v>1</v>
      </c>
      <c r="B7" s="47">
        <v>82929702</v>
      </c>
      <c r="C7" s="36" t="s">
        <v>288</v>
      </c>
      <c r="D7" s="36">
        <v>6</v>
      </c>
      <c r="E7" s="37">
        <f t="shared" si="0"/>
        <v>1</v>
      </c>
      <c r="F7" s="37">
        <f t="shared" si="1"/>
        <v>0</v>
      </c>
      <c r="G7" s="36">
        <v>6</v>
      </c>
      <c r="H7" s="37">
        <f t="shared" si="2"/>
        <v>1</v>
      </c>
      <c r="I7" s="37">
        <f t="shared" si="3"/>
        <v>0</v>
      </c>
      <c r="J7" s="36">
        <f t="shared" si="4"/>
        <v>0</v>
      </c>
      <c r="K7" s="78"/>
    </row>
    <row r="8" spans="1:11" x14ac:dyDescent="0.3">
      <c r="A8" s="36">
        <v>1</v>
      </c>
      <c r="B8" s="47">
        <v>82929702</v>
      </c>
      <c r="C8" s="36" t="s">
        <v>291</v>
      </c>
      <c r="D8" s="36">
        <v>9</v>
      </c>
      <c r="E8" s="37">
        <f t="shared" si="0"/>
        <v>0</v>
      </c>
      <c r="F8" s="37">
        <f t="shared" si="1"/>
        <v>1</v>
      </c>
      <c r="G8" s="36">
        <v>9</v>
      </c>
      <c r="H8" s="37">
        <f t="shared" si="2"/>
        <v>0</v>
      </c>
      <c r="I8" s="37">
        <f t="shared" si="3"/>
        <v>1</v>
      </c>
      <c r="J8" s="36">
        <f t="shared" si="4"/>
        <v>0</v>
      </c>
      <c r="K8" s="78"/>
    </row>
    <row r="9" spans="1:11" x14ac:dyDescent="0.3">
      <c r="A9" s="36">
        <v>2</v>
      </c>
      <c r="B9" s="47">
        <v>82929684</v>
      </c>
      <c r="C9" s="36" t="s">
        <v>274</v>
      </c>
      <c r="D9" s="36">
        <v>6</v>
      </c>
      <c r="E9" s="37">
        <f t="shared" si="0"/>
        <v>1</v>
      </c>
      <c r="F9" s="37">
        <f t="shared" si="1"/>
        <v>0</v>
      </c>
      <c r="G9" s="36">
        <v>6</v>
      </c>
      <c r="H9" s="37">
        <f t="shared" si="2"/>
        <v>1</v>
      </c>
      <c r="I9" s="37">
        <f t="shared" si="3"/>
        <v>0</v>
      </c>
      <c r="J9" s="36">
        <f t="shared" si="4"/>
        <v>0</v>
      </c>
      <c r="K9" s="78"/>
    </row>
    <row r="10" spans="1:11" ht="14.25" x14ac:dyDescent="0.3">
      <c r="A10" s="71">
        <v>2</v>
      </c>
      <c r="B10" s="72">
        <v>82929684</v>
      </c>
      <c r="C10" s="71" t="s">
        <v>280</v>
      </c>
      <c r="D10" s="71">
        <v>8</v>
      </c>
      <c r="E10" s="73">
        <f t="shared" si="0"/>
        <v>1</v>
      </c>
      <c r="F10" s="73">
        <f t="shared" si="1"/>
        <v>0</v>
      </c>
      <c r="G10" s="71">
        <v>7</v>
      </c>
      <c r="H10" s="73">
        <f t="shared" si="2"/>
        <v>1</v>
      </c>
      <c r="I10" s="73">
        <f t="shared" si="3"/>
        <v>0</v>
      </c>
      <c r="J10" s="71">
        <f t="shared" si="4"/>
        <v>-1</v>
      </c>
      <c r="K10" s="79" t="s">
        <v>314</v>
      </c>
    </row>
    <row r="11" spans="1:11" ht="14.25" x14ac:dyDescent="0.3">
      <c r="A11" s="71">
        <v>2</v>
      </c>
      <c r="B11" s="72">
        <v>82929684</v>
      </c>
      <c r="C11" s="71" t="s">
        <v>283</v>
      </c>
      <c r="D11" s="71">
        <v>9</v>
      </c>
      <c r="E11" s="73">
        <f t="shared" si="0"/>
        <v>0</v>
      </c>
      <c r="F11" s="73">
        <f t="shared" si="1"/>
        <v>1</v>
      </c>
      <c r="G11" s="71">
        <v>8</v>
      </c>
      <c r="H11" s="73">
        <f t="shared" si="2"/>
        <v>1</v>
      </c>
      <c r="I11" s="73">
        <f t="shared" si="3"/>
        <v>0</v>
      </c>
      <c r="J11" s="71">
        <f t="shared" si="4"/>
        <v>-1</v>
      </c>
      <c r="K11" s="79" t="s">
        <v>314</v>
      </c>
    </row>
    <row r="12" spans="1:11" x14ac:dyDescent="0.3">
      <c r="A12" s="36">
        <v>2</v>
      </c>
      <c r="B12" s="47">
        <v>82929684</v>
      </c>
      <c r="C12" s="36" t="s">
        <v>286</v>
      </c>
      <c r="D12" s="36">
        <v>9</v>
      </c>
      <c r="E12" s="37">
        <f t="shared" si="0"/>
        <v>0</v>
      </c>
      <c r="F12" s="37">
        <f t="shared" si="1"/>
        <v>1</v>
      </c>
      <c r="G12" s="36">
        <v>9</v>
      </c>
      <c r="H12" s="37">
        <f t="shared" si="2"/>
        <v>0</v>
      </c>
      <c r="I12" s="37">
        <f t="shared" si="3"/>
        <v>1</v>
      </c>
      <c r="J12" s="36">
        <f t="shared" si="4"/>
        <v>0</v>
      </c>
      <c r="K12" s="78"/>
    </row>
    <row r="13" spans="1:11" x14ac:dyDescent="0.3">
      <c r="A13" s="36">
        <v>2</v>
      </c>
      <c r="B13" s="47">
        <v>82929684</v>
      </c>
      <c r="C13" s="36" t="s">
        <v>289</v>
      </c>
      <c r="D13" s="36">
        <v>7</v>
      </c>
      <c r="E13" s="37">
        <f t="shared" si="0"/>
        <v>1</v>
      </c>
      <c r="F13" s="37">
        <f t="shared" si="1"/>
        <v>0</v>
      </c>
      <c r="G13" s="36">
        <v>7</v>
      </c>
      <c r="H13" s="37">
        <f t="shared" si="2"/>
        <v>1</v>
      </c>
      <c r="I13" s="37">
        <f t="shared" si="3"/>
        <v>0</v>
      </c>
      <c r="J13" s="36">
        <f t="shared" si="4"/>
        <v>0</v>
      </c>
      <c r="K13" s="78"/>
    </row>
    <row r="14" spans="1:11" x14ac:dyDescent="0.3">
      <c r="A14" s="36">
        <v>2</v>
      </c>
      <c r="B14" s="47">
        <v>82929684</v>
      </c>
      <c r="C14" s="36" t="s">
        <v>292</v>
      </c>
      <c r="D14" s="36">
        <v>6</v>
      </c>
      <c r="E14" s="37">
        <f t="shared" si="0"/>
        <v>1</v>
      </c>
      <c r="F14" s="37">
        <f t="shared" si="1"/>
        <v>0</v>
      </c>
      <c r="G14" s="36">
        <v>6</v>
      </c>
      <c r="H14" s="37">
        <f t="shared" si="2"/>
        <v>1</v>
      </c>
      <c r="I14" s="37">
        <f t="shared" si="3"/>
        <v>0</v>
      </c>
      <c r="J14" s="36">
        <f t="shared" si="4"/>
        <v>0</v>
      </c>
      <c r="K14" s="78"/>
    </row>
    <row r="15" spans="1:11" x14ac:dyDescent="0.3">
      <c r="A15" s="36">
        <v>2</v>
      </c>
      <c r="B15" s="47">
        <v>82929684</v>
      </c>
      <c r="C15" s="36" t="s">
        <v>293</v>
      </c>
      <c r="D15" s="36">
        <v>6</v>
      </c>
      <c r="E15" s="37">
        <f t="shared" si="0"/>
        <v>1</v>
      </c>
      <c r="F15" s="37">
        <f t="shared" si="1"/>
        <v>0</v>
      </c>
      <c r="G15" s="36">
        <v>6</v>
      </c>
      <c r="H15" s="37">
        <f t="shared" si="2"/>
        <v>1</v>
      </c>
      <c r="I15" s="37">
        <f t="shared" si="3"/>
        <v>0</v>
      </c>
      <c r="J15" s="36">
        <f t="shared" si="4"/>
        <v>0</v>
      </c>
      <c r="K15" s="78"/>
    </row>
    <row r="16" spans="1:11" ht="14.25" x14ac:dyDescent="0.3">
      <c r="A16" s="71">
        <v>2</v>
      </c>
      <c r="B16" s="72">
        <v>82929684</v>
      </c>
      <c r="C16" s="71" t="s">
        <v>295</v>
      </c>
      <c r="D16" s="71">
        <v>6</v>
      </c>
      <c r="E16" s="73">
        <f t="shared" si="0"/>
        <v>1</v>
      </c>
      <c r="F16" s="73">
        <f t="shared" si="1"/>
        <v>0</v>
      </c>
      <c r="G16" s="71">
        <v>4</v>
      </c>
      <c r="H16" s="73">
        <f t="shared" si="2"/>
        <v>1</v>
      </c>
      <c r="I16" s="73">
        <f t="shared" si="3"/>
        <v>0</v>
      </c>
      <c r="J16" s="71">
        <f t="shared" si="4"/>
        <v>-2</v>
      </c>
      <c r="K16" s="79" t="s">
        <v>315</v>
      </c>
    </row>
    <row r="17" spans="1:11" x14ac:dyDescent="0.3">
      <c r="A17" s="36">
        <v>2</v>
      </c>
      <c r="B17" s="47">
        <v>82929684</v>
      </c>
      <c r="C17" s="36" t="s">
        <v>297</v>
      </c>
      <c r="D17" s="36">
        <v>8</v>
      </c>
      <c r="E17" s="37">
        <f t="shared" si="0"/>
        <v>1</v>
      </c>
      <c r="F17" s="37">
        <f t="shared" si="1"/>
        <v>0</v>
      </c>
      <c r="G17" s="36">
        <v>8</v>
      </c>
      <c r="H17" s="37">
        <f t="shared" si="2"/>
        <v>1</v>
      </c>
      <c r="I17" s="37">
        <f t="shared" si="3"/>
        <v>0</v>
      </c>
      <c r="J17" s="36">
        <f t="shared" si="4"/>
        <v>0</v>
      </c>
      <c r="K17" s="78"/>
    </row>
    <row r="18" spans="1:11" x14ac:dyDescent="0.3">
      <c r="A18" s="36">
        <v>2</v>
      </c>
      <c r="B18" s="47">
        <v>82929684</v>
      </c>
      <c r="C18" s="36" t="s">
        <v>270</v>
      </c>
      <c r="D18" s="36">
        <v>6</v>
      </c>
      <c r="E18" s="37">
        <f t="shared" si="0"/>
        <v>1</v>
      </c>
      <c r="F18" s="37">
        <f t="shared" si="1"/>
        <v>0</v>
      </c>
      <c r="G18" s="36">
        <v>6</v>
      </c>
      <c r="H18" s="37">
        <f t="shared" si="2"/>
        <v>1</v>
      </c>
      <c r="I18" s="37">
        <f t="shared" si="3"/>
        <v>0</v>
      </c>
      <c r="J18" s="36">
        <f t="shared" si="4"/>
        <v>0</v>
      </c>
      <c r="K18" s="78"/>
    </row>
    <row r="19" spans="1:11" x14ac:dyDescent="0.3">
      <c r="A19" s="36">
        <v>3</v>
      </c>
      <c r="B19" s="36">
        <v>71205556</v>
      </c>
      <c r="C19" s="36" t="s">
        <v>276</v>
      </c>
      <c r="D19" s="36">
        <v>9</v>
      </c>
      <c r="E19" s="37">
        <f t="shared" si="0"/>
        <v>0</v>
      </c>
      <c r="F19" s="37">
        <f t="shared" si="1"/>
        <v>1</v>
      </c>
      <c r="G19" s="36">
        <v>9</v>
      </c>
      <c r="H19" s="37">
        <f t="shared" si="2"/>
        <v>0</v>
      </c>
      <c r="I19" s="37">
        <f t="shared" si="3"/>
        <v>1</v>
      </c>
      <c r="J19" s="36">
        <f t="shared" si="4"/>
        <v>0</v>
      </c>
      <c r="K19" s="78"/>
    </row>
    <row r="20" spans="1:11" x14ac:dyDescent="0.3">
      <c r="A20" s="36">
        <v>3</v>
      </c>
      <c r="B20" s="36">
        <v>71205556</v>
      </c>
      <c r="C20" s="36" t="s">
        <v>281</v>
      </c>
      <c r="D20" s="36">
        <v>9</v>
      </c>
      <c r="E20" s="37">
        <f t="shared" si="0"/>
        <v>0</v>
      </c>
      <c r="F20" s="37">
        <f t="shared" si="1"/>
        <v>1</v>
      </c>
      <c r="G20" s="36">
        <v>9</v>
      </c>
      <c r="H20" s="37">
        <f t="shared" si="2"/>
        <v>0</v>
      </c>
      <c r="I20" s="37">
        <f t="shared" si="3"/>
        <v>1</v>
      </c>
      <c r="J20" s="36">
        <f t="shared" si="4"/>
        <v>0</v>
      </c>
      <c r="K20" s="78"/>
    </row>
    <row r="21" spans="1:11" x14ac:dyDescent="0.3">
      <c r="A21" s="36">
        <v>3</v>
      </c>
      <c r="B21" s="36">
        <v>71205556</v>
      </c>
      <c r="C21" s="36" t="s">
        <v>284</v>
      </c>
      <c r="D21" s="36">
        <v>9</v>
      </c>
      <c r="E21" s="37">
        <f t="shared" si="0"/>
        <v>0</v>
      </c>
      <c r="F21" s="37">
        <f t="shared" si="1"/>
        <v>1</v>
      </c>
      <c r="G21" s="36">
        <v>9</v>
      </c>
      <c r="H21" s="37">
        <f t="shared" si="2"/>
        <v>0</v>
      </c>
      <c r="I21" s="37">
        <f t="shared" si="3"/>
        <v>1</v>
      </c>
      <c r="J21" s="36">
        <f t="shared" si="4"/>
        <v>0</v>
      </c>
      <c r="K21" s="78"/>
    </row>
    <row r="22" spans="1:11" ht="14.25" x14ac:dyDescent="0.3">
      <c r="A22" s="71">
        <v>3</v>
      </c>
      <c r="B22" s="71">
        <v>71205556</v>
      </c>
      <c r="C22" s="71" t="s">
        <v>287</v>
      </c>
      <c r="D22" s="71">
        <v>9</v>
      </c>
      <c r="E22" s="73">
        <f t="shared" si="0"/>
        <v>0</v>
      </c>
      <c r="F22" s="73">
        <f t="shared" si="1"/>
        <v>1</v>
      </c>
      <c r="G22" s="71">
        <v>8</v>
      </c>
      <c r="H22" s="73">
        <f t="shared" si="2"/>
        <v>1</v>
      </c>
      <c r="I22" s="73">
        <f t="shared" si="3"/>
        <v>0</v>
      </c>
      <c r="J22" s="71">
        <f t="shared" si="4"/>
        <v>-1</v>
      </c>
      <c r="K22" s="79" t="s">
        <v>314</v>
      </c>
    </row>
    <row r="23" spans="1:11" ht="14.25" x14ac:dyDescent="0.3">
      <c r="A23" s="71">
        <v>3</v>
      </c>
      <c r="B23" s="71">
        <v>71205556</v>
      </c>
      <c r="C23" s="71" t="s">
        <v>290</v>
      </c>
      <c r="D23" s="71">
        <v>9</v>
      </c>
      <c r="E23" s="73">
        <f t="shared" si="0"/>
        <v>0</v>
      </c>
      <c r="F23" s="73">
        <f t="shared" si="1"/>
        <v>1</v>
      </c>
      <c r="G23" s="71">
        <v>5</v>
      </c>
      <c r="H23" s="73">
        <f t="shared" si="2"/>
        <v>1</v>
      </c>
      <c r="I23" s="73">
        <f t="shared" si="3"/>
        <v>0</v>
      </c>
      <c r="J23" s="71">
        <f t="shared" si="4"/>
        <v>-4</v>
      </c>
      <c r="K23" s="79" t="s">
        <v>316</v>
      </c>
    </row>
    <row r="24" spans="1:11" ht="14.25" x14ac:dyDescent="0.3">
      <c r="A24" s="69">
        <v>3</v>
      </c>
      <c r="B24" s="69">
        <v>71205556</v>
      </c>
      <c r="C24" s="69" t="s">
        <v>317</v>
      </c>
      <c r="D24" s="69">
        <v>9</v>
      </c>
      <c r="E24" s="70">
        <f t="shared" si="0"/>
        <v>0</v>
      </c>
      <c r="F24" s="70">
        <f t="shared" si="1"/>
        <v>1</v>
      </c>
      <c r="G24" s="69">
        <v>0</v>
      </c>
      <c r="H24" s="70">
        <v>0</v>
      </c>
      <c r="I24" s="70">
        <f t="shared" si="3"/>
        <v>0</v>
      </c>
      <c r="J24" s="69">
        <f t="shared" si="4"/>
        <v>-9</v>
      </c>
      <c r="K24" s="80" t="s">
        <v>318</v>
      </c>
    </row>
    <row r="25" spans="1:11" ht="14.25" x14ac:dyDescent="0.3">
      <c r="A25" s="71">
        <v>3</v>
      </c>
      <c r="B25" s="71">
        <v>71205556</v>
      </c>
      <c r="C25" s="71" t="s">
        <v>294</v>
      </c>
      <c r="D25" s="71">
        <v>9</v>
      </c>
      <c r="E25" s="73">
        <f t="shared" si="0"/>
        <v>0</v>
      </c>
      <c r="F25" s="73">
        <f t="shared" si="1"/>
        <v>1</v>
      </c>
      <c r="G25" s="71">
        <v>3</v>
      </c>
      <c r="H25" s="73">
        <f t="shared" si="2"/>
        <v>1</v>
      </c>
      <c r="I25" s="73">
        <f t="shared" si="3"/>
        <v>0</v>
      </c>
      <c r="J25" s="71">
        <f t="shared" si="4"/>
        <v>-6</v>
      </c>
      <c r="K25" s="79" t="s">
        <v>319</v>
      </c>
    </row>
    <row r="26" spans="1:11" ht="14.25" x14ac:dyDescent="0.3">
      <c r="A26" s="71">
        <v>3</v>
      </c>
      <c r="B26" s="71">
        <v>71205556</v>
      </c>
      <c r="C26" s="71" t="s">
        <v>296</v>
      </c>
      <c r="D26" s="71">
        <v>8</v>
      </c>
      <c r="E26" s="73">
        <f t="shared" si="0"/>
        <v>1</v>
      </c>
      <c r="F26" s="73">
        <f t="shared" si="1"/>
        <v>0</v>
      </c>
      <c r="G26" s="71">
        <v>9</v>
      </c>
      <c r="H26" s="73">
        <f t="shared" si="2"/>
        <v>0</v>
      </c>
      <c r="I26" s="73">
        <f t="shared" si="3"/>
        <v>1</v>
      </c>
      <c r="J26" s="71">
        <f t="shared" si="4"/>
        <v>1</v>
      </c>
      <c r="K26" s="79" t="s">
        <v>320</v>
      </c>
    </row>
    <row r="27" spans="1:11" ht="14.25" x14ac:dyDescent="0.3">
      <c r="A27" s="74">
        <v>3</v>
      </c>
      <c r="B27" s="74">
        <v>71205556</v>
      </c>
      <c r="C27" s="75" t="s">
        <v>298</v>
      </c>
      <c r="D27" s="74">
        <v>0</v>
      </c>
      <c r="E27" s="76">
        <v>0</v>
      </c>
      <c r="F27" s="76">
        <f t="shared" si="1"/>
        <v>0</v>
      </c>
      <c r="G27" s="74">
        <v>8</v>
      </c>
      <c r="H27" s="76">
        <f t="shared" si="2"/>
        <v>1</v>
      </c>
      <c r="I27" s="76">
        <f t="shared" si="3"/>
        <v>0</v>
      </c>
      <c r="J27" s="74">
        <f t="shared" si="4"/>
        <v>8</v>
      </c>
      <c r="K27" s="79" t="s">
        <v>321</v>
      </c>
    </row>
    <row r="28" spans="1:11" ht="14.25" x14ac:dyDescent="0.3">
      <c r="A28" s="74">
        <v>3</v>
      </c>
      <c r="B28" s="74">
        <v>71205556</v>
      </c>
      <c r="C28" s="75" t="s">
        <v>271</v>
      </c>
      <c r="D28" s="74">
        <v>0</v>
      </c>
      <c r="E28" s="76">
        <v>0</v>
      </c>
      <c r="F28" s="76">
        <f t="shared" si="1"/>
        <v>0</v>
      </c>
      <c r="G28" s="74">
        <v>7</v>
      </c>
      <c r="H28" s="76">
        <f t="shared" si="2"/>
        <v>1</v>
      </c>
      <c r="I28" s="76">
        <f t="shared" si="3"/>
        <v>0</v>
      </c>
      <c r="J28" s="74">
        <f t="shared" si="4"/>
        <v>7</v>
      </c>
      <c r="K28" s="79" t="s">
        <v>321</v>
      </c>
    </row>
    <row r="29" spans="1:11" ht="14.25" x14ac:dyDescent="0.3">
      <c r="A29" s="74">
        <v>3</v>
      </c>
      <c r="B29" s="74">
        <v>71205556</v>
      </c>
      <c r="C29" s="75" t="s">
        <v>272</v>
      </c>
      <c r="D29" s="74">
        <v>0</v>
      </c>
      <c r="E29" s="76">
        <v>0</v>
      </c>
      <c r="F29" s="76">
        <f t="shared" si="1"/>
        <v>0</v>
      </c>
      <c r="G29" s="74">
        <v>8</v>
      </c>
      <c r="H29" s="76">
        <f t="shared" si="2"/>
        <v>1</v>
      </c>
      <c r="I29" s="76">
        <f t="shared" si="3"/>
        <v>0</v>
      </c>
      <c r="J29" s="74">
        <f t="shared" si="4"/>
        <v>8</v>
      </c>
      <c r="K29" s="79" t="s">
        <v>321</v>
      </c>
    </row>
    <row r="30" spans="1:11" ht="14.65" x14ac:dyDescent="0.45">
      <c r="D30" s="35">
        <f t="shared" ref="D30:I30" si="5">SUM(D3:D29)</f>
        <v>190</v>
      </c>
      <c r="E30" s="68">
        <f t="shared" si="5"/>
        <v>12</v>
      </c>
      <c r="F30" s="68">
        <f t="shared" si="5"/>
        <v>12</v>
      </c>
      <c r="G30" s="35">
        <f t="shared" si="5"/>
        <v>190</v>
      </c>
      <c r="H30" s="68">
        <f t="shared" si="5"/>
        <v>18</v>
      </c>
      <c r="I30" s="68">
        <f t="shared" si="5"/>
        <v>8</v>
      </c>
      <c r="J30" s="67"/>
      <c r="K30" s="78"/>
    </row>
    <row r="31" spans="1:11" x14ac:dyDescent="0.3">
      <c r="E31" s="82">
        <f>SUM(E30:F30)</f>
        <v>24</v>
      </c>
      <c r="H31" s="81">
        <f>SUM(H30:I30)</f>
        <v>26</v>
      </c>
    </row>
  </sheetData>
  <mergeCells count="5">
    <mergeCell ref="A1:A2"/>
    <mergeCell ref="B1:B2"/>
    <mergeCell ref="C1:C2"/>
    <mergeCell ref="D1:F1"/>
    <mergeCell ref="G1:I1"/>
  </mergeCells>
  <phoneticPr fontId="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2"/>
  <sheetViews>
    <sheetView zoomScale="85" zoomScaleNormal="85" workbookViewId="0">
      <pane ySplit="1" topLeftCell="A20" activePane="bottomLeft" state="frozen"/>
      <selection pane="bottomLeft" activeCell="J36" sqref="J36"/>
    </sheetView>
  </sheetViews>
  <sheetFormatPr defaultColWidth="9" defaultRowHeight="13.5" x14ac:dyDescent="0.3"/>
  <cols>
    <col min="2" max="2" width="10.19921875" customWidth="1"/>
    <col min="3" max="3" width="26.46484375" customWidth="1"/>
    <col min="4" max="4" width="27" bestFit="1" customWidth="1"/>
    <col min="5" max="5" width="20.796875" customWidth="1"/>
    <col min="6" max="6" width="17.796875" customWidth="1"/>
  </cols>
  <sheetData>
    <row r="1" spans="1:6" ht="21" x14ac:dyDescent="0.65">
      <c r="A1" s="1" t="s">
        <v>322</v>
      </c>
      <c r="B1" s="1" t="s">
        <v>1</v>
      </c>
      <c r="C1" s="2" t="s">
        <v>2</v>
      </c>
      <c r="D1" s="1" t="s">
        <v>6</v>
      </c>
      <c r="E1" s="4" t="s">
        <v>323</v>
      </c>
      <c r="F1" s="4" t="s">
        <v>324</v>
      </c>
    </row>
    <row r="2" spans="1:6" ht="18" x14ac:dyDescent="0.55000000000000004">
      <c r="A2" s="7">
        <v>22</v>
      </c>
      <c r="B2" s="11" t="s">
        <v>325</v>
      </c>
      <c r="C2" s="7">
        <v>67573323</v>
      </c>
      <c r="D2" s="7">
        <v>19375.900000000001</v>
      </c>
      <c r="E2" s="6"/>
      <c r="F2" s="6">
        <f t="shared" ref="F2:F33" si="0">E2-D2</f>
        <v>-19375.900000000001</v>
      </c>
    </row>
    <row r="3" spans="1:6" ht="18" x14ac:dyDescent="0.55000000000000004">
      <c r="A3" s="7">
        <v>44</v>
      </c>
      <c r="B3" s="11" t="s">
        <v>325</v>
      </c>
      <c r="C3" s="7">
        <v>67021362</v>
      </c>
      <c r="D3" s="7">
        <v>56032.6</v>
      </c>
      <c r="E3" s="6"/>
      <c r="F3" s="6">
        <f t="shared" si="0"/>
        <v>-56032.6</v>
      </c>
    </row>
    <row r="4" spans="1:6" ht="18" x14ac:dyDescent="0.55000000000000004">
      <c r="A4" s="7">
        <v>53</v>
      </c>
      <c r="B4" s="11" t="s">
        <v>325</v>
      </c>
      <c r="C4" s="7">
        <v>67573216</v>
      </c>
      <c r="D4" s="7">
        <v>17968.5</v>
      </c>
      <c r="E4" s="6"/>
      <c r="F4" s="6">
        <f t="shared" si="0"/>
        <v>-17968.5</v>
      </c>
    </row>
    <row r="5" spans="1:6" ht="18" x14ac:dyDescent="0.55000000000000004">
      <c r="A5" s="3">
        <v>58</v>
      </c>
      <c r="B5" s="12" t="s">
        <v>277</v>
      </c>
      <c r="C5" s="3">
        <v>42607693</v>
      </c>
      <c r="D5" s="3">
        <v>59659</v>
      </c>
      <c r="E5" s="6"/>
      <c r="F5" s="6">
        <f t="shared" si="0"/>
        <v>-59659</v>
      </c>
    </row>
    <row r="6" spans="1:6" ht="18" x14ac:dyDescent="0.55000000000000004">
      <c r="A6" s="3">
        <v>60</v>
      </c>
      <c r="B6" s="12" t="s">
        <v>277</v>
      </c>
      <c r="C6" s="3">
        <v>42607645</v>
      </c>
      <c r="D6" s="3">
        <v>97390</v>
      </c>
      <c r="E6" s="6"/>
      <c r="F6" s="6">
        <f t="shared" si="0"/>
        <v>-97390</v>
      </c>
    </row>
    <row r="7" spans="1:6" ht="18" x14ac:dyDescent="0.55000000000000004">
      <c r="A7" s="3">
        <v>61</v>
      </c>
      <c r="B7" s="12" t="s">
        <v>277</v>
      </c>
      <c r="C7" s="3">
        <v>42607493</v>
      </c>
      <c r="D7" s="3">
        <v>23184</v>
      </c>
      <c r="E7" s="6"/>
      <c r="F7" s="6">
        <f t="shared" si="0"/>
        <v>-23184</v>
      </c>
    </row>
    <row r="8" spans="1:6" ht="18" x14ac:dyDescent="0.55000000000000004">
      <c r="A8" s="3">
        <v>62</v>
      </c>
      <c r="B8" s="12" t="s">
        <v>277</v>
      </c>
      <c r="C8" s="3">
        <v>42607616</v>
      </c>
      <c r="D8" s="3">
        <v>7889</v>
      </c>
      <c r="E8" s="6"/>
      <c r="F8" s="6">
        <f t="shared" si="0"/>
        <v>-7889</v>
      </c>
    </row>
    <row r="9" spans="1:6" ht="18" x14ac:dyDescent="0.55000000000000004">
      <c r="A9" s="3">
        <v>63</v>
      </c>
      <c r="B9" s="12" t="s">
        <v>277</v>
      </c>
      <c r="C9" s="3">
        <v>42607457</v>
      </c>
      <c r="D9" s="3">
        <v>27096</v>
      </c>
      <c r="E9" s="6"/>
      <c r="F9" s="6">
        <f t="shared" si="0"/>
        <v>-27096</v>
      </c>
    </row>
    <row r="10" spans="1:6" ht="18" x14ac:dyDescent="0.55000000000000004">
      <c r="A10" s="3">
        <v>64</v>
      </c>
      <c r="B10" s="12" t="s">
        <v>277</v>
      </c>
      <c r="C10" s="3">
        <v>42607809</v>
      </c>
      <c r="D10" s="3">
        <v>15280</v>
      </c>
      <c r="E10" s="6"/>
      <c r="F10" s="6">
        <f t="shared" si="0"/>
        <v>-15280</v>
      </c>
    </row>
    <row r="11" spans="1:6" ht="18" x14ac:dyDescent="0.55000000000000004">
      <c r="A11" s="3">
        <v>65</v>
      </c>
      <c r="B11" s="12" t="s">
        <v>277</v>
      </c>
      <c r="C11" s="3">
        <v>42607653</v>
      </c>
      <c r="D11" s="3">
        <v>20310</v>
      </c>
      <c r="E11" s="6"/>
      <c r="F11" s="6">
        <f t="shared" si="0"/>
        <v>-20310</v>
      </c>
    </row>
    <row r="12" spans="1:6" ht="18" x14ac:dyDescent="0.55000000000000004">
      <c r="A12" s="3">
        <v>66</v>
      </c>
      <c r="B12" s="12" t="s">
        <v>277</v>
      </c>
      <c r="C12" s="3">
        <v>42607631</v>
      </c>
      <c r="D12" s="3">
        <v>24100</v>
      </c>
      <c r="E12" s="6"/>
      <c r="F12" s="6">
        <f t="shared" si="0"/>
        <v>-24100</v>
      </c>
    </row>
    <row r="13" spans="1:6" ht="18" x14ac:dyDescent="0.55000000000000004">
      <c r="A13" s="3">
        <v>67</v>
      </c>
      <c r="B13" s="12" t="s">
        <v>277</v>
      </c>
      <c r="C13" s="3">
        <v>46886910</v>
      </c>
      <c r="D13" s="3">
        <v>172161.6</v>
      </c>
      <c r="E13" s="6"/>
      <c r="F13" s="6">
        <f t="shared" si="0"/>
        <v>-172161.6</v>
      </c>
    </row>
    <row r="14" spans="1:6" ht="18" x14ac:dyDescent="0.55000000000000004">
      <c r="A14" s="3">
        <v>68</v>
      </c>
      <c r="B14" s="12" t="s">
        <v>277</v>
      </c>
      <c r="C14" s="3">
        <v>42607609</v>
      </c>
      <c r="D14" s="3">
        <v>11718</v>
      </c>
      <c r="E14" s="6">
        <v>11718</v>
      </c>
      <c r="F14" s="6">
        <f t="shared" si="0"/>
        <v>0</v>
      </c>
    </row>
    <row r="15" spans="1:6" ht="18" x14ac:dyDescent="0.55000000000000004">
      <c r="A15" s="3">
        <v>69</v>
      </c>
      <c r="B15" s="12" t="s">
        <v>277</v>
      </c>
      <c r="C15" s="3">
        <v>47512547</v>
      </c>
      <c r="D15" s="3">
        <v>38143</v>
      </c>
      <c r="E15" s="6">
        <v>38145</v>
      </c>
      <c r="F15" s="6">
        <f t="shared" si="0"/>
        <v>2</v>
      </c>
    </row>
    <row r="16" spans="1:6" ht="18" x14ac:dyDescent="0.55000000000000004">
      <c r="A16" s="3">
        <v>70</v>
      </c>
      <c r="B16" s="12" t="s">
        <v>277</v>
      </c>
      <c r="C16" s="3">
        <v>47511635</v>
      </c>
      <c r="D16" s="3">
        <v>35381.199999999997</v>
      </c>
      <c r="E16" s="6">
        <v>35381.199999999997</v>
      </c>
      <c r="F16" s="6">
        <f t="shared" si="0"/>
        <v>0</v>
      </c>
    </row>
    <row r="17" spans="1:6" ht="18" x14ac:dyDescent="0.55000000000000004">
      <c r="A17" s="3">
        <v>71</v>
      </c>
      <c r="B17" s="12" t="s">
        <v>277</v>
      </c>
      <c r="C17" s="3">
        <v>4260700</v>
      </c>
      <c r="D17" s="3">
        <v>179707</v>
      </c>
      <c r="E17" s="6">
        <v>179707</v>
      </c>
      <c r="F17" s="6">
        <f t="shared" si="0"/>
        <v>0</v>
      </c>
    </row>
    <row r="18" spans="1:6" ht="18" x14ac:dyDescent="0.55000000000000004">
      <c r="A18" s="3">
        <v>72</v>
      </c>
      <c r="B18" s="12" t="s">
        <v>277</v>
      </c>
      <c r="C18" s="3">
        <v>46886909</v>
      </c>
      <c r="D18" s="3">
        <v>103115.8</v>
      </c>
      <c r="E18" s="6">
        <v>103121.8</v>
      </c>
      <c r="F18" s="6">
        <f t="shared" si="0"/>
        <v>6</v>
      </c>
    </row>
    <row r="19" spans="1:6" ht="18" x14ac:dyDescent="0.55000000000000004">
      <c r="A19" s="8">
        <v>73</v>
      </c>
      <c r="B19" s="9" t="s">
        <v>277</v>
      </c>
      <c r="C19" s="8">
        <v>47369448</v>
      </c>
      <c r="D19" s="8" t="s">
        <v>326</v>
      </c>
      <c r="E19" s="10"/>
      <c r="F19" s="10" t="e">
        <f t="shared" si="0"/>
        <v>#VALUE!</v>
      </c>
    </row>
    <row r="20" spans="1:6" ht="18" x14ac:dyDescent="0.55000000000000004">
      <c r="A20" s="3">
        <v>74</v>
      </c>
      <c r="B20" s="12" t="s">
        <v>277</v>
      </c>
      <c r="C20" s="3">
        <v>47511330</v>
      </c>
      <c r="D20" s="3">
        <v>72558.399999999994</v>
      </c>
      <c r="E20" s="6">
        <v>72558.399999999994</v>
      </c>
      <c r="F20" s="6">
        <f t="shared" si="0"/>
        <v>0</v>
      </c>
    </row>
    <row r="21" spans="1:6" ht="18" x14ac:dyDescent="0.55000000000000004">
      <c r="A21" s="3">
        <v>75</v>
      </c>
      <c r="B21" s="12" t="s">
        <v>277</v>
      </c>
      <c r="C21" s="3">
        <v>42607467</v>
      </c>
      <c r="D21" s="3">
        <v>12607</v>
      </c>
      <c r="E21" s="6">
        <v>12608</v>
      </c>
      <c r="F21" s="6">
        <f t="shared" si="0"/>
        <v>1</v>
      </c>
    </row>
    <row r="22" spans="1:6" ht="18" x14ac:dyDescent="0.55000000000000004">
      <c r="A22" s="3">
        <v>87</v>
      </c>
      <c r="B22" s="12" t="s">
        <v>277</v>
      </c>
      <c r="C22" s="3">
        <v>67021344</v>
      </c>
      <c r="D22" s="3">
        <v>30522</v>
      </c>
      <c r="E22" s="6"/>
      <c r="F22" s="6">
        <f t="shared" si="0"/>
        <v>-30522</v>
      </c>
    </row>
    <row r="23" spans="1:6" ht="18" x14ac:dyDescent="0.55000000000000004">
      <c r="A23" s="3">
        <v>88</v>
      </c>
      <c r="B23" s="12" t="s">
        <v>277</v>
      </c>
      <c r="C23" s="3">
        <v>67021354</v>
      </c>
      <c r="D23" s="3">
        <v>42174</v>
      </c>
      <c r="E23" s="6"/>
      <c r="F23" s="6">
        <f t="shared" si="0"/>
        <v>-42174</v>
      </c>
    </row>
    <row r="24" spans="1:6" ht="18" x14ac:dyDescent="0.55000000000000004">
      <c r="A24" s="8">
        <v>89</v>
      </c>
      <c r="B24" s="9" t="s">
        <v>277</v>
      </c>
      <c r="C24" s="8">
        <v>91546861</v>
      </c>
      <c r="D24" s="8">
        <v>0</v>
      </c>
      <c r="E24" s="10"/>
      <c r="F24" s="10">
        <f t="shared" si="0"/>
        <v>0</v>
      </c>
    </row>
    <row r="25" spans="1:6" ht="18" x14ac:dyDescent="0.55000000000000004">
      <c r="A25" s="8">
        <v>90</v>
      </c>
      <c r="B25" s="9" t="s">
        <v>277</v>
      </c>
      <c r="C25" s="8">
        <v>66599353</v>
      </c>
      <c r="D25" s="8">
        <v>0</v>
      </c>
      <c r="E25" s="10"/>
      <c r="F25" s="10">
        <f t="shared" si="0"/>
        <v>0</v>
      </c>
    </row>
    <row r="26" spans="1:6" ht="18" x14ac:dyDescent="0.55000000000000004">
      <c r="A26" s="8">
        <v>91</v>
      </c>
      <c r="B26" s="9" t="s">
        <v>277</v>
      </c>
      <c r="C26" s="8">
        <v>87778411</v>
      </c>
      <c r="D26" s="8">
        <v>0</v>
      </c>
      <c r="E26" s="10"/>
      <c r="F26" s="10">
        <f t="shared" si="0"/>
        <v>0</v>
      </c>
    </row>
    <row r="27" spans="1:6" ht="18" x14ac:dyDescent="0.55000000000000004">
      <c r="A27" s="3">
        <v>92</v>
      </c>
      <c r="B27" s="12" t="s">
        <v>277</v>
      </c>
      <c r="C27" s="3">
        <v>67573171</v>
      </c>
      <c r="D27" s="3">
        <v>55276.2</v>
      </c>
      <c r="E27" s="6">
        <v>55295.6</v>
      </c>
      <c r="F27" s="6">
        <f t="shared" si="0"/>
        <v>19.400000000001455</v>
      </c>
    </row>
    <row r="28" spans="1:6" ht="18" x14ac:dyDescent="0.55000000000000004">
      <c r="A28" s="7">
        <v>93</v>
      </c>
      <c r="B28" s="11" t="s">
        <v>325</v>
      </c>
      <c r="C28" s="7">
        <v>90007553</v>
      </c>
      <c r="D28" s="7">
        <v>1076.4000000000001</v>
      </c>
      <c r="E28" s="6">
        <v>1234.5</v>
      </c>
      <c r="F28" s="6">
        <f t="shared" si="0"/>
        <v>158.09999999999991</v>
      </c>
    </row>
    <row r="29" spans="1:6" ht="18" x14ac:dyDescent="0.55000000000000004">
      <c r="A29" s="3">
        <v>94</v>
      </c>
      <c r="B29" s="12" t="s">
        <v>277</v>
      </c>
      <c r="C29" s="3">
        <v>67573207</v>
      </c>
      <c r="D29" s="3">
        <v>26813.1</v>
      </c>
      <c r="E29" s="6">
        <v>26832.799999999999</v>
      </c>
      <c r="F29" s="6">
        <f t="shared" si="0"/>
        <v>19.700000000000728</v>
      </c>
    </row>
    <row r="30" spans="1:6" ht="18" x14ac:dyDescent="0.55000000000000004">
      <c r="A30" s="7">
        <v>95</v>
      </c>
      <c r="B30" s="11" t="s">
        <v>325</v>
      </c>
      <c r="C30" s="7">
        <v>42607759</v>
      </c>
      <c r="D30" s="7">
        <v>26313</v>
      </c>
      <c r="E30" s="6">
        <v>139657</v>
      </c>
      <c r="F30" s="6">
        <f t="shared" si="0"/>
        <v>113344</v>
      </c>
    </row>
    <row r="31" spans="1:6" ht="18" x14ac:dyDescent="0.55000000000000004">
      <c r="A31" s="3">
        <v>96</v>
      </c>
      <c r="B31" s="12" t="s">
        <v>277</v>
      </c>
      <c r="C31" s="3">
        <v>67573298</v>
      </c>
      <c r="D31" s="3">
        <v>16956.2</v>
      </c>
      <c r="E31" s="6">
        <v>16978.099999999999</v>
      </c>
      <c r="F31" s="6">
        <f t="shared" si="0"/>
        <v>21.899999999997817</v>
      </c>
    </row>
    <row r="32" spans="1:6" ht="18" x14ac:dyDescent="0.55000000000000004">
      <c r="A32" s="7">
        <v>97</v>
      </c>
      <c r="B32" s="11" t="s">
        <v>325</v>
      </c>
      <c r="C32" s="7">
        <v>67573203</v>
      </c>
      <c r="D32" s="7">
        <v>36948.800000000003</v>
      </c>
      <c r="E32" s="6" t="s">
        <v>329</v>
      </c>
      <c r="F32" s="6" t="e">
        <f t="shared" si="0"/>
        <v>#VALUE!</v>
      </c>
    </row>
    <row r="33" spans="1:6" ht="18" x14ac:dyDescent="0.55000000000000004">
      <c r="A33" s="3">
        <v>98</v>
      </c>
      <c r="B33" s="12" t="s">
        <v>277</v>
      </c>
      <c r="C33" s="3">
        <v>67573191</v>
      </c>
      <c r="D33" s="3">
        <v>43330.5</v>
      </c>
      <c r="E33" s="6"/>
      <c r="F33" s="6">
        <f t="shared" si="0"/>
        <v>-43330.5</v>
      </c>
    </row>
    <row r="34" spans="1:6" ht="18" x14ac:dyDescent="0.55000000000000004">
      <c r="A34" s="7">
        <v>99</v>
      </c>
      <c r="B34" s="11" t="s">
        <v>325</v>
      </c>
      <c r="C34" s="7">
        <v>67572944</v>
      </c>
      <c r="D34" s="7">
        <v>21735.7</v>
      </c>
      <c r="E34" s="6">
        <v>21789.1</v>
      </c>
      <c r="F34" s="6">
        <f t="shared" ref="F34:F51" si="1">E34-D34</f>
        <v>53.399999999997817</v>
      </c>
    </row>
    <row r="35" spans="1:6" ht="18" x14ac:dyDescent="0.55000000000000004">
      <c r="A35" s="3">
        <v>100</v>
      </c>
      <c r="B35" s="12" t="s">
        <v>277</v>
      </c>
      <c r="C35" s="3">
        <v>67573201</v>
      </c>
      <c r="D35" s="3">
        <v>28815.3</v>
      </c>
      <c r="E35" s="6"/>
      <c r="F35" s="6">
        <f t="shared" si="1"/>
        <v>-28815.3</v>
      </c>
    </row>
    <row r="36" spans="1:6" ht="18" x14ac:dyDescent="0.55000000000000004">
      <c r="A36" s="7">
        <v>101</v>
      </c>
      <c r="B36" s="11" t="s">
        <v>325</v>
      </c>
      <c r="C36" s="7">
        <v>67021339</v>
      </c>
      <c r="D36" s="7">
        <v>30210.7</v>
      </c>
      <c r="E36" s="6">
        <v>30259.5</v>
      </c>
      <c r="F36" s="6">
        <f t="shared" si="1"/>
        <v>48.799999999999272</v>
      </c>
    </row>
    <row r="37" spans="1:6" ht="18" x14ac:dyDescent="0.55000000000000004">
      <c r="A37" s="3">
        <v>102</v>
      </c>
      <c r="B37" s="12" t="s">
        <v>277</v>
      </c>
      <c r="C37" s="3">
        <v>90008040</v>
      </c>
      <c r="D37" s="3">
        <v>1849.3</v>
      </c>
      <c r="E37" s="6">
        <v>1881.8</v>
      </c>
      <c r="F37" s="6">
        <f t="shared" si="1"/>
        <v>32.5</v>
      </c>
    </row>
    <row r="38" spans="1:6" ht="18" x14ac:dyDescent="0.55000000000000004">
      <c r="A38" s="7">
        <v>103</v>
      </c>
      <c r="B38" s="11" t="s">
        <v>325</v>
      </c>
      <c r="C38" s="7">
        <v>46886935</v>
      </c>
      <c r="D38" s="7">
        <v>82275</v>
      </c>
      <c r="E38" s="6">
        <v>82330</v>
      </c>
      <c r="F38" s="6">
        <f t="shared" si="1"/>
        <v>55</v>
      </c>
    </row>
    <row r="39" spans="1:6" ht="18" x14ac:dyDescent="0.55000000000000004">
      <c r="A39" s="7">
        <v>105</v>
      </c>
      <c r="B39" s="11" t="s">
        <v>325</v>
      </c>
      <c r="C39" s="7">
        <v>67572955</v>
      </c>
      <c r="D39" s="7">
        <v>28976.3</v>
      </c>
      <c r="E39" s="6">
        <v>29012.7</v>
      </c>
      <c r="F39" s="6">
        <f t="shared" si="1"/>
        <v>36.400000000001455</v>
      </c>
    </row>
    <row r="40" spans="1:6" ht="18" x14ac:dyDescent="0.55000000000000004">
      <c r="A40" s="7">
        <v>107</v>
      </c>
      <c r="B40" s="11" t="s">
        <v>325</v>
      </c>
      <c r="C40" s="7">
        <v>42607429</v>
      </c>
      <c r="D40" s="7">
        <v>19376</v>
      </c>
      <c r="E40" s="6"/>
      <c r="F40" s="6">
        <f t="shared" si="1"/>
        <v>-19376</v>
      </c>
    </row>
    <row r="41" spans="1:6" ht="18" x14ac:dyDescent="0.55000000000000004">
      <c r="A41" s="7">
        <v>109</v>
      </c>
      <c r="B41" s="11" t="s">
        <v>325</v>
      </c>
      <c r="C41" s="7">
        <v>67021338</v>
      </c>
      <c r="D41" s="7">
        <v>29281.599999999999</v>
      </c>
      <c r="E41" s="6">
        <v>29406.1</v>
      </c>
      <c r="F41" s="6">
        <f t="shared" si="1"/>
        <v>124.5</v>
      </c>
    </row>
    <row r="42" spans="1:6" ht="18" x14ac:dyDescent="0.55000000000000004">
      <c r="A42" s="7">
        <v>111</v>
      </c>
      <c r="B42" s="11" t="s">
        <v>325</v>
      </c>
      <c r="C42" s="7">
        <v>42607771</v>
      </c>
      <c r="D42" s="7">
        <v>5509</v>
      </c>
      <c r="E42" s="6">
        <v>5516</v>
      </c>
      <c r="F42" s="6">
        <f t="shared" si="1"/>
        <v>7</v>
      </c>
    </row>
    <row r="43" spans="1:6" ht="18" x14ac:dyDescent="0.55000000000000004">
      <c r="A43" s="7">
        <v>113</v>
      </c>
      <c r="B43" s="11" t="s">
        <v>325</v>
      </c>
      <c r="C43" s="7">
        <v>67573205</v>
      </c>
      <c r="D43" s="7">
        <v>38016.9</v>
      </c>
      <c r="E43" s="6">
        <v>38086</v>
      </c>
      <c r="F43" s="6">
        <f t="shared" si="1"/>
        <v>69.099999999998545</v>
      </c>
    </row>
    <row r="44" spans="1:6" ht="18" x14ac:dyDescent="0.55000000000000004">
      <c r="A44" s="7">
        <v>115</v>
      </c>
      <c r="B44" s="11" t="s">
        <v>325</v>
      </c>
      <c r="C44" s="7">
        <v>67573265</v>
      </c>
      <c r="D44" s="7">
        <v>71144.2</v>
      </c>
      <c r="E44" s="6">
        <v>71214.8</v>
      </c>
      <c r="F44" s="6">
        <f t="shared" si="1"/>
        <v>70.600000000005821</v>
      </c>
    </row>
    <row r="45" spans="1:6" ht="18" x14ac:dyDescent="0.55000000000000004">
      <c r="A45" s="7">
        <v>117</v>
      </c>
      <c r="B45" s="11" t="s">
        <v>325</v>
      </c>
      <c r="C45" s="7">
        <v>66599401</v>
      </c>
      <c r="D45" s="7">
        <v>63803.5</v>
      </c>
      <c r="E45" s="6">
        <v>63860.4</v>
      </c>
      <c r="F45" s="6">
        <f t="shared" si="1"/>
        <v>56.900000000001455</v>
      </c>
    </row>
    <row r="46" spans="1:6" ht="18" x14ac:dyDescent="0.55000000000000004">
      <c r="A46" s="7">
        <v>119</v>
      </c>
      <c r="B46" s="11" t="s">
        <v>325</v>
      </c>
      <c r="C46" s="7">
        <v>67573188</v>
      </c>
      <c r="D46" s="7">
        <v>29124.2</v>
      </c>
      <c r="E46" s="6">
        <v>29208.6</v>
      </c>
      <c r="F46" s="6">
        <f t="shared" si="1"/>
        <v>84.399999999997817</v>
      </c>
    </row>
    <row r="47" spans="1:6" ht="18" x14ac:dyDescent="0.55000000000000004">
      <c r="A47" s="7">
        <v>121</v>
      </c>
      <c r="B47" s="11" t="s">
        <v>325</v>
      </c>
      <c r="C47" s="7">
        <v>84039773</v>
      </c>
      <c r="D47" s="7">
        <v>9600.1</v>
      </c>
      <c r="E47" s="6">
        <v>9668.1</v>
      </c>
      <c r="F47" s="6">
        <f t="shared" si="1"/>
        <v>68</v>
      </c>
    </row>
    <row r="48" spans="1:6" ht="18" x14ac:dyDescent="0.55000000000000004">
      <c r="A48" s="7">
        <v>123</v>
      </c>
      <c r="B48" s="11" t="s">
        <v>325</v>
      </c>
      <c r="C48" s="7">
        <v>67573376</v>
      </c>
      <c r="D48" s="7">
        <v>89289.8</v>
      </c>
      <c r="E48" s="6">
        <v>89352.7</v>
      </c>
      <c r="F48" s="6">
        <f t="shared" si="1"/>
        <v>62.899999999994179</v>
      </c>
    </row>
    <row r="49" spans="1:6" ht="18" x14ac:dyDescent="0.55000000000000004">
      <c r="A49" s="7">
        <v>125</v>
      </c>
      <c r="B49" s="11" t="s">
        <v>325</v>
      </c>
      <c r="C49" s="7">
        <v>67573196</v>
      </c>
      <c r="D49" s="7">
        <v>89182.7</v>
      </c>
      <c r="E49" s="6">
        <v>89225.2</v>
      </c>
      <c r="F49" s="6">
        <f t="shared" si="1"/>
        <v>42.5</v>
      </c>
    </row>
    <row r="50" spans="1:6" ht="18" x14ac:dyDescent="0.55000000000000004">
      <c r="A50" s="7">
        <v>127</v>
      </c>
      <c r="B50" s="11" t="s">
        <v>325</v>
      </c>
      <c r="C50" s="7">
        <v>67573307</v>
      </c>
      <c r="D50" s="7">
        <v>25290.799999999999</v>
      </c>
      <c r="E50" s="6">
        <v>25372.1</v>
      </c>
      <c r="F50" s="6">
        <f t="shared" si="1"/>
        <v>81.299999999999272</v>
      </c>
    </row>
    <row r="51" spans="1:6" ht="18" x14ac:dyDescent="0.55000000000000004">
      <c r="A51" s="7">
        <v>163</v>
      </c>
      <c r="B51" s="11" t="s">
        <v>325</v>
      </c>
      <c r="C51" s="7">
        <v>70694930</v>
      </c>
      <c r="D51" s="7">
        <v>35892.800000000003</v>
      </c>
      <c r="E51" s="6"/>
      <c r="F51" s="6">
        <f t="shared" si="1"/>
        <v>-35892.800000000003</v>
      </c>
    </row>
    <row r="52" spans="1:6" ht="18" x14ac:dyDescent="0.55000000000000004">
      <c r="A52" s="98"/>
      <c r="C52" s="98"/>
      <c r="D52" s="99"/>
    </row>
  </sheetData>
  <sortState xmlns:xlrd2="http://schemas.microsoft.com/office/spreadsheetml/2017/richdata2" ref="A2:F51">
    <sortCondition ref="A2:A51"/>
  </sortState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0EF19-E1CC-4819-8307-8E09D5C8BD96}">
  <dimension ref="A1:K21"/>
  <sheetViews>
    <sheetView workbookViewId="0">
      <selection activeCell="G31" sqref="G31"/>
    </sheetView>
  </sheetViews>
  <sheetFormatPr defaultRowHeight="13.5" x14ac:dyDescent="0.3"/>
  <cols>
    <col min="1" max="1" width="13.1328125" bestFit="1" customWidth="1"/>
    <col min="2" max="2" width="7" bestFit="1" customWidth="1"/>
    <col min="3" max="3" width="11.796875" bestFit="1" customWidth="1"/>
    <col min="4" max="4" width="11.86328125" bestFit="1" customWidth="1"/>
    <col min="5" max="5" width="12.19921875" bestFit="1" customWidth="1"/>
    <col min="6" max="6" width="11.86328125" bestFit="1" customWidth="1"/>
    <col min="7" max="7" width="14.46484375" bestFit="1" customWidth="1"/>
    <col min="8" max="8" width="15.46484375" bestFit="1" customWidth="1"/>
    <col min="9" max="9" width="12.86328125" bestFit="1" customWidth="1"/>
    <col min="10" max="10" width="21.46484375" bestFit="1" customWidth="1"/>
    <col min="11" max="11" width="20.46484375" bestFit="1" customWidth="1"/>
    <col min="12" max="12" width="13.86328125" bestFit="1" customWidth="1"/>
    <col min="14" max="14" width="18.796875" bestFit="1" customWidth="1"/>
    <col min="15" max="17" width="18.796875" customWidth="1"/>
    <col min="18" max="18" width="19.53125" bestFit="1" customWidth="1"/>
    <col min="19" max="19" width="21.46484375" bestFit="1" customWidth="1"/>
    <col min="20" max="20" width="19.1328125" bestFit="1" customWidth="1"/>
  </cols>
  <sheetData>
    <row r="1" spans="1:11" ht="14.25" x14ac:dyDescent="0.3">
      <c r="A1" s="100" t="s">
        <v>327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</row>
    <row r="2" spans="1:11" ht="14.25" x14ac:dyDescent="0.3">
      <c r="A2" s="15" t="s">
        <v>0</v>
      </c>
      <c r="B2" s="15" t="s">
        <v>1</v>
      </c>
      <c r="C2" s="15" t="s">
        <v>258</v>
      </c>
      <c r="D2" s="15" t="s">
        <v>259</v>
      </c>
      <c r="E2" s="15" t="s">
        <v>3</v>
      </c>
      <c r="F2" s="15" t="s">
        <v>4</v>
      </c>
      <c r="G2" s="15" t="s">
        <v>260</v>
      </c>
      <c r="H2" s="15" t="s">
        <v>261</v>
      </c>
      <c r="I2" s="15" t="s">
        <v>262</v>
      </c>
      <c r="J2" s="15" t="s">
        <v>263</v>
      </c>
      <c r="K2" s="23" t="s">
        <v>264</v>
      </c>
    </row>
    <row r="3" spans="1:11" ht="14.25" x14ac:dyDescent="0.3">
      <c r="A3" s="22" t="s">
        <v>126</v>
      </c>
      <c r="B3" s="38" t="s">
        <v>127</v>
      </c>
      <c r="C3" s="5">
        <v>14558069796</v>
      </c>
      <c r="D3" s="5">
        <v>71205556</v>
      </c>
      <c r="E3" s="5" t="s">
        <v>267</v>
      </c>
      <c r="F3" s="5" t="s">
        <v>268</v>
      </c>
      <c r="G3" s="5" t="s">
        <v>269</v>
      </c>
      <c r="H3" s="5" t="s">
        <v>275</v>
      </c>
      <c r="I3" s="29" t="s">
        <v>290</v>
      </c>
      <c r="J3" s="13">
        <v>46195</v>
      </c>
      <c r="K3" s="5">
        <v>0.01</v>
      </c>
    </row>
    <row r="4" spans="1:11" ht="14.25" x14ac:dyDescent="0.3">
      <c r="A4" s="22" t="s">
        <v>130</v>
      </c>
      <c r="B4" s="38" t="s">
        <v>127</v>
      </c>
      <c r="C4" s="5">
        <v>14558069945</v>
      </c>
      <c r="D4" s="5">
        <v>71205556</v>
      </c>
      <c r="E4" s="5" t="s">
        <v>267</v>
      </c>
      <c r="F4" s="5" t="s">
        <v>268</v>
      </c>
      <c r="G4" s="5" t="s">
        <v>269</v>
      </c>
      <c r="H4" s="16" t="s">
        <v>278</v>
      </c>
      <c r="I4" s="29" t="s">
        <v>290</v>
      </c>
      <c r="J4" s="13">
        <v>46195</v>
      </c>
      <c r="K4" s="5">
        <v>0</v>
      </c>
    </row>
    <row r="5" spans="1:11" ht="14.25" x14ac:dyDescent="0.3">
      <c r="A5" s="22" t="s">
        <v>133</v>
      </c>
      <c r="B5" s="38" t="s">
        <v>127</v>
      </c>
      <c r="C5" s="5">
        <v>14558068194</v>
      </c>
      <c r="D5" s="5">
        <v>71205556</v>
      </c>
      <c r="E5" s="5" t="s">
        <v>267</v>
      </c>
      <c r="F5" s="5" t="s">
        <v>268</v>
      </c>
      <c r="G5" s="5" t="s">
        <v>269</v>
      </c>
      <c r="H5" s="5" t="s">
        <v>275</v>
      </c>
      <c r="I5" s="30" t="s">
        <v>287</v>
      </c>
      <c r="J5" s="13">
        <v>46195</v>
      </c>
      <c r="K5" s="5">
        <v>1.0900000000000001</v>
      </c>
    </row>
    <row r="6" spans="1:11" ht="14.25" x14ac:dyDescent="0.3">
      <c r="A6" s="22" t="s">
        <v>136</v>
      </c>
      <c r="B6" s="38" t="s">
        <v>127</v>
      </c>
      <c r="C6" s="5">
        <v>14558068178</v>
      </c>
      <c r="D6" s="5">
        <v>71205556</v>
      </c>
      <c r="E6" s="5" t="s">
        <v>267</v>
      </c>
      <c r="F6" s="5" t="s">
        <v>268</v>
      </c>
      <c r="G6" s="5" t="s">
        <v>269</v>
      </c>
      <c r="H6" s="16" t="s">
        <v>278</v>
      </c>
      <c r="I6" s="30" t="s">
        <v>287</v>
      </c>
      <c r="J6" s="13">
        <v>46195</v>
      </c>
      <c r="K6" s="5">
        <v>1.1100000000000001</v>
      </c>
    </row>
    <row r="7" spans="1:11" ht="14.25" x14ac:dyDescent="0.3">
      <c r="A7" s="22" t="s">
        <v>139</v>
      </c>
      <c r="B7" s="38" t="s">
        <v>127</v>
      </c>
      <c r="C7" s="5">
        <v>14558068160</v>
      </c>
      <c r="D7" s="5">
        <v>71205556</v>
      </c>
      <c r="E7" s="5" t="s">
        <v>267</v>
      </c>
      <c r="F7" s="5" t="s">
        <v>268</v>
      </c>
      <c r="G7" s="5" t="s">
        <v>269</v>
      </c>
      <c r="H7" s="17" t="s">
        <v>277</v>
      </c>
      <c r="I7" s="30" t="s">
        <v>287</v>
      </c>
      <c r="J7" s="13">
        <v>46195</v>
      </c>
      <c r="K7" s="5">
        <v>0.38</v>
      </c>
    </row>
    <row r="8" spans="1:11" ht="14.25" x14ac:dyDescent="0.3">
      <c r="A8" s="22" t="s">
        <v>142</v>
      </c>
      <c r="B8" s="38" t="s">
        <v>127</v>
      </c>
      <c r="C8" s="5">
        <v>14558068285</v>
      </c>
      <c r="D8" s="5">
        <v>71205556</v>
      </c>
      <c r="E8" s="5" t="s">
        <v>267</v>
      </c>
      <c r="F8" s="5" t="s">
        <v>268</v>
      </c>
      <c r="G8" s="5" t="s">
        <v>269</v>
      </c>
      <c r="H8" s="5" t="s">
        <v>275</v>
      </c>
      <c r="I8" s="30" t="s">
        <v>287</v>
      </c>
      <c r="J8" s="13">
        <v>46195</v>
      </c>
      <c r="K8" s="5">
        <v>1.37</v>
      </c>
    </row>
    <row r="9" spans="1:11" ht="14.25" x14ac:dyDescent="0.3">
      <c r="A9" s="22" t="s">
        <v>145</v>
      </c>
      <c r="B9" s="38" t="s">
        <v>127</v>
      </c>
      <c r="C9" s="5">
        <v>14558068301</v>
      </c>
      <c r="D9" s="5">
        <v>71205556</v>
      </c>
      <c r="E9" s="5" t="s">
        <v>267</v>
      </c>
      <c r="F9" s="5" t="s">
        <v>268</v>
      </c>
      <c r="G9" s="5" t="s">
        <v>269</v>
      </c>
      <c r="H9" s="16" t="s">
        <v>278</v>
      </c>
      <c r="I9" s="30" t="s">
        <v>287</v>
      </c>
      <c r="J9" s="13">
        <v>46195</v>
      </c>
      <c r="K9" s="5">
        <v>1.63</v>
      </c>
    </row>
    <row r="10" spans="1:11" ht="14.25" x14ac:dyDescent="0.3">
      <c r="A10" s="22" t="s">
        <v>148</v>
      </c>
      <c r="B10" s="38" t="s">
        <v>127</v>
      </c>
      <c r="C10" s="5">
        <v>14558067899</v>
      </c>
      <c r="D10" s="5">
        <v>71205556</v>
      </c>
      <c r="E10" s="5" t="s">
        <v>267</v>
      </c>
      <c r="F10" s="5" t="s">
        <v>268</v>
      </c>
      <c r="G10" s="5" t="s">
        <v>269</v>
      </c>
      <c r="H10" s="5" t="s">
        <v>275</v>
      </c>
      <c r="I10" s="31" t="s">
        <v>284</v>
      </c>
      <c r="J10" s="13">
        <v>46193</v>
      </c>
      <c r="K10" s="5">
        <v>0.02</v>
      </c>
    </row>
    <row r="11" spans="1:11" ht="14.25" x14ac:dyDescent="0.3">
      <c r="A11" s="22" t="s">
        <v>151</v>
      </c>
      <c r="B11" s="38" t="s">
        <v>127</v>
      </c>
      <c r="C11" s="5">
        <v>14558067873</v>
      </c>
      <c r="D11" s="5">
        <v>71205556</v>
      </c>
      <c r="E11" s="5" t="s">
        <v>267</v>
      </c>
      <c r="F11" s="5" t="s">
        <v>268</v>
      </c>
      <c r="G11" s="5" t="s">
        <v>269</v>
      </c>
      <c r="H11" s="16" t="s">
        <v>278</v>
      </c>
      <c r="I11" s="31" t="s">
        <v>284</v>
      </c>
      <c r="J11" s="13">
        <v>46193</v>
      </c>
      <c r="K11" s="5">
        <v>0.04</v>
      </c>
    </row>
    <row r="12" spans="1:11" ht="14.25" x14ac:dyDescent="0.3">
      <c r="A12" s="22" t="s">
        <v>154</v>
      </c>
      <c r="B12" s="38" t="s">
        <v>127</v>
      </c>
      <c r="C12" s="5">
        <v>14558067881</v>
      </c>
      <c r="D12" s="5">
        <v>71205556</v>
      </c>
      <c r="E12" s="5" t="s">
        <v>267</v>
      </c>
      <c r="F12" s="5" t="s">
        <v>268</v>
      </c>
      <c r="G12" s="5" t="s">
        <v>269</v>
      </c>
      <c r="H12" s="17" t="s">
        <v>277</v>
      </c>
      <c r="I12" s="31" t="s">
        <v>284</v>
      </c>
      <c r="J12" s="13">
        <v>46193</v>
      </c>
      <c r="K12" s="5">
        <v>0.55000000000000004</v>
      </c>
    </row>
    <row r="13" spans="1:11" ht="14.25" x14ac:dyDescent="0.3">
      <c r="A13" s="22" t="s">
        <v>157</v>
      </c>
      <c r="B13" s="38" t="s">
        <v>127</v>
      </c>
      <c r="C13" s="5">
        <v>14558067907</v>
      </c>
      <c r="D13" s="5">
        <v>71205556</v>
      </c>
      <c r="E13" s="5" t="s">
        <v>267</v>
      </c>
      <c r="F13" s="5" t="s">
        <v>268</v>
      </c>
      <c r="G13" s="5" t="s">
        <v>269</v>
      </c>
      <c r="H13" s="5" t="s">
        <v>275</v>
      </c>
      <c r="I13" s="31" t="s">
        <v>284</v>
      </c>
      <c r="J13" s="13">
        <v>46193</v>
      </c>
      <c r="K13" s="5">
        <v>0.53</v>
      </c>
    </row>
    <row r="14" spans="1:11" ht="14.25" x14ac:dyDescent="0.3">
      <c r="A14" s="22" t="s">
        <v>160</v>
      </c>
      <c r="B14" s="38" t="s">
        <v>127</v>
      </c>
      <c r="C14" s="5">
        <v>14558067964</v>
      </c>
      <c r="D14" s="5">
        <v>71205556</v>
      </c>
      <c r="E14" s="5" t="s">
        <v>267</v>
      </c>
      <c r="F14" s="5" t="s">
        <v>268</v>
      </c>
      <c r="G14" s="5" t="s">
        <v>269</v>
      </c>
      <c r="H14" s="16" t="s">
        <v>278</v>
      </c>
      <c r="I14" s="31" t="s">
        <v>284</v>
      </c>
      <c r="J14" s="13">
        <v>46193</v>
      </c>
      <c r="K14" s="18">
        <v>0</v>
      </c>
    </row>
    <row r="15" spans="1:11" ht="14.25" x14ac:dyDescent="0.3">
      <c r="A15" s="22" t="s">
        <v>163</v>
      </c>
      <c r="B15" s="38" t="s">
        <v>127</v>
      </c>
      <c r="C15" s="5">
        <v>14558069713</v>
      </c>
      <c r="D15" s="5">
        <v>71205556</v>
      </c>
      <c r="E15" s="5" t="s">
        <v>267</v>
      </c>
      <c r="F15" s="5" t="s">
        <v>268</v>
      </c>
      <c r="G15" s="5" t="s">
        <v>269</v>
      </c>
      <c r="H15" s="16" t="s">
        <v>278</v>
      </c>
      <c r="I15" s="26" t="s">
        <v>281</v>
      </c>
      <c r="J15" s="13">
        <v>46193</v>
      </c>
      <c r="K15" s="18">
        <v>0</v>
      </c>
    </row>
    <row r="16" spans="1:11" ht="14.25" x14ac:dyDescent="0.3">
      <c r="A16" s="22" t="s">
        <v>166</v>
      </c>
      <c r="B16" s="38" t="s">
        <v>127</v>
      </c>
      <c r="C16" s="5">
        <v>14558069705</v>
      </c>
      <c r="D16" s="5">
        <v>71205556</v>
      </c>
      <c r="E16" s="5" t="s">
        <v>267</v>
      </c>
      <c r="F16" s="5" t="s">
        <v>268</v>
      </c>
      <c r="G16" s="5" t="s">
        <v>269</v>
      </c>
      <c r="H16" s="17" t="s">
        <v>277</v>
      </c>
      <c r="I16" s="26" t="s">
        <v>281</v>
      </c>
      <c r="J16" s="13">
        <v>46193</v>
      </c>
      <c r="K16" s="18">
        <v>0</v>
      </c>
    </row>
    <row r="17" spans="1:11" ht="14.25" x14ac:dyDescent="0.3">
      <c r="A17" s="22" t="s">
        <v>169</v>
      </c>
      <c r="B17" s="38" t="s">
        <v>127</v>
      </c>
      <c r="C17" s="5">
        <v>14558069762</v>
      </c>
      <c r="D17" s="5">
        <v>71205556</v>
      </c>
      <c r="E17" s="5" t="s">
        <v>267</v>
      </c>
      <c r="F17" s="5" t="s">
        <v>268</v>
      </c>
      <c r="G17" s="5" t="s">
        <v>269</v>
      </c>
      <c r="H17" s="5" t="s">
        <v>275</v>
      </c>
      <c r="I17" s="26" t="s">
        <v>281</v>
      </c>
      <c r="J17" s="13">
        <v>46193</v>
      </c>
      <c r="K17" s="18">
        <v>0</v>
      </c>
    </row>
    <row r="18" spans="1:11" ht="14.25" x14ac:dyDescent="0.3">
      <c r="A18" s="22" t="s">
        <v>172</v>
      </c>
      <c r="B18" s="38" t="s">
        <v>127</v>
      </c>
      <c r="C18" s="5">
        <v>14558069887</v>
      </c>
      <c r="D18" s="5">
        <v>71205556</v>
      </c>
      <c r="E18" s="5" t="s">
        <v>267</v>
      </c>
      <c r="F18" s="5" t="s">
        <v>268</v>
      </c>
      <c r="G18" s="5" t="s">
        <v>269</v>
      </c>
      <c r="H18" s="16" t="s">
        <v>278</v>
      </c>
      <c r="I18" s="26" t="s">
        <v>281</v>
      </c>
      <c r="J18" s="13">
        <v>46193</v>
      </c>
      <c r="K18" s="18">
        <v>0</v>
      </c>
    </row>
    <row r="19" spans="1:11" ht="14.25" x14ac:dyDescent="0.3">
      <c r="A19" s="22" t="s">
        <v>175</v>
      </c>
      <c r="B19" s="38" t="s">
        <v>127</v>
      </c>
      <c r="C19" s="5">
        <v>14558068111</v>
      </c>
      <c r="D19" s="5">
        <v>71205556</v>
      </c>
      <c r="E19" s="5" t="s">
        <v>267</v>
      </c>
      <c r="F19" s="5" t="s">
        <v>268</v>
      </c>
      <c r="G19" s="5" t="s">
        <v>269</v>
      </c>
      <c r="H19" s="17" t="s">
        <v>277</v>
      </c>
      <c r="I19" s="25" t="s">
        <v>276</v>
      </c>
      <c r="J19" s="13">
        <v>46193</v>
      </c>
      <c r="K19" s="18">
        <v>0</v>
      </c>
    </row>
    <row r="20" spans="1:11" ht="14.25" x14ac:dyDescent="0.3">
      <c r="A20" s="22" t="s">
        <v>178</v>
      </c>
      <c r="B20" s="38" t="s">
        <v>127</v>
      </c>
      <c r="C20" s="5">
        <v>14558068152</v>
      </c>
      <c r="D20" s="5">
        <v>71205556</v>
      </c>
      <c r="E20" s="5" t="s">
        <v>267</v>
      </c>
      <c r="F20" s="5" t="s">
        <v>268</v>
      </c>
      <c r="G20" s="5" t="s">
        <v>269</v>
      </c>
      <c r="H20" s="16" t="s">
        <v>278</v>
      </c>
      <c r="I20" s="25" t="s">
        <v>276</v>
      </c>
      <c r="J20" s="13">
        <v>46193</v>
      </c>
      <c r="K20" s="18">
        <v>0</v>
      </c>
    </row>
    <row r="21" spans="1:11" ht="14.25" x14ac:dyDescent="0.3">
      <c r="A21" s="24" t="s">
        <v>299</v>
      </c>
      <c r="B21" s="39" t="s">
        <v>127</v>
      </c>
      <c r="C21" s="5">
        <v>98819618</v>
      </c>
      <c r="D21" s="21">
        <v>82929684</v>
      </c>
      <c r="E21" s="5" t="s">
        <v>300</v>
      </c>
      <c r="F21" s="5" t="s">
        <v>301</v>
      </c>
      <c r="G21" s="5" t="s">
        <v>302</v>
      </c>
      <c r="H21" s="5" t="s">
        <v>303</v>
      </c>
      <c r="I21" s="5"/>
      <c r="J21" s="13">
        <v>46182</v>
      </c>
      <c r="K21" s="18">
        <v>0</v>
      </c>
    </row>
  </sheetData>
  <mergeCells count="1">
    <mergeCell ref="A1:K1"/>
  </mergeCells>
  <conditionalFormatting sqref="C15:C17">
    <cfRule type="duplicateValues" dxfId="2" priority="2"/>
  </conditionalFormatting>
  <conditionalFormatting sqref="C18:C20">
    <cfRule type="duplicateValues" dxfId="1" priority="1"/>
  </conditionalFormatting>
  <conditionalFormatting sqref="L21">
    <cfRule type="duplicateValues" dxfId="0" priority="3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30CC3-43AA-4F80-8788-F5A43F69E8B4}">
  <dimension ref="A1:H22"/>
  <sheetViews>
    <sheetView zoomScaleNormal="100" workbookViewId="0">
      <selection activeCell="B25" sqref="B25"/>
    </sheetView>
  </sheetViews>
  <sheetFormatPr defaultRowHeight="13.5" x14ac:dyDescent="0.3"/>
  <cols>
    <col min="1" max="1" width="21.46484375" style="14" bestFit="1" customWidth="1"/>
    <col min="2" max="2" width="7.53125" style="14" bestFit="1" customWidth="1"/>
    <col min="3" max="3" width="19.796875" style="14" bestFit="1" customWidth="1"/>
    <col min="4" max="4" width="13.46484375" style="14" bestFit="1" customWidth="1"/>
    <col min="5" max="5" width="12.86328125" style="14" bestFit="1" customWidth="1"/>
    <col min="6" max="6" width="15.1328125" style="14" bestFit="1" customWidth="1"/>
    <col min="7" max="7" width="17" bestFit="1" customWidth="1"/>
    <col min="8" max="8" width="26.46484375" bestFit="1" customWidth="1"/>
  </cols>
  <sheetData>
    <row r="1" spans="1:8" ht="14.25" x14ac:dyDescent="0.3">
      <c r="A1" s="100" t="s">
        <v>328</v>
      </c>
      <c r="B1" s="100"/>
      <c r="C1" s="100"/>
      <c r="D1" s="100"/>
      <c r="E1" s="100"/>
      <c r="F1" s="100"/>
      <c r="G1" s="100"/>
      <c r="H1" s="100"/>
    </row>
    <row r="2" spans="1:8" ht="15.75" x14ac:dyDescent="0.3">
      <c r="A2" s="33" t="s">
        <v>0</v>
      </c>
      <c r="B2" s="33" t="s">
        <v>1</v>
      </c>
      <c r="C2" s="93" t="s">
        <v>2</v>
      </c>
      <c r="D2" s="33" t="s">
        <v>3</v>
      </c>
      <c r="E2" s="33" t="s">
        <v>4</v>
      </c>
      <c r="F2" s="33" t="s">
        <v>5</v>
      </c>
      <c r="G2" s="33" t="s">
        <v>6</v>
      </c>
      <c r="H2" s="94" t="s">
        <v>7</v>
      </c>
    </row>
    <row r="3" spans="1:8" ht="15.75" x14ac:dyDescent="0.3">
      <c r="A3" s="84" t="s">
        <v>126</v>
      </c>
      <c r="B3" s="95" t="s">
        <v>127</v>
      </c>
      <c r="C3" s="84" t="s">
        <v>128</v>
      </c>
      <c r="D3" s="84" t="s">
        <v>11</v>
      </c>
      <c r="E3" s="84" t="s">
        <v>12</v>
      </c>
      <c r="F3" s="84" t="s">
        <v>13</v>
      </c>
      <c r="G3" s="96">
        <v>9.5000000000000001E-2</v>
      </c>
      <c r="H3" s="97">
        <v>46168</v>
      </c>
    </row>
    <row r="4" spans="1:8" ht="15.75" x14ac:dyDescent="0.3">
      <c r="A4" s="84" t="s">
        <v>130</v>
      </c>
      <c r="B4" s="95" t="s">
        <v>127</v>
      </c>
      <c r="C4" s="84" t="s">
        <v>131</v>
      </c>
      <c r="D4" s="84" t="s">
        <v>11</v>
      </c>
      <c r="E4" s="84" t="s">
        <v>12</v>
      </c>
      <c r="F4" s="84" t="s">
        <v>13</v>
      </c>
      <c r="G4" s="96">
        <v>0.104</v>
      </c>
      <c r="H4" s="97">
        <v>46168</v>
      </c>
    </row>
    <row r="5" spans="1:8" ht="15.75" x14ac:dyDescent="0.3">
      <c r="A5" s="84" t="s">
        <v>133</v>
      </c>
      <c r="B5" s="95" t="s">
        <v>127</v>
      </c>
      <c r="C5" s="84" t="s">
        <v>134</v>
      </c>
      <c r="D5" s="84" t="s">
        <v>11</v>
      </c>
      <c r="E5" s="84" t="s">
        <v>12</v>
      </c>
      <c r="F5" s="84" t="s">
        <v>13</v>
      </c>
      <c r="G5" s="96">
        <v>9.9000000000000005E-2</v>
      </c>
      <c r="H5" s="97">
        <v>46168</v>
      </c>
    </row>
    <row r="6" spans="1:8" ht="15.75" x14ac:dyDescent="0.3">
      <c r="A6" s="84" t="s">
        <v>136</v>
      </c>
      <c r="B6" s="95" t="s">
        <v>127</v>
      </c>
      <c r="C6" s="84" t="s">
        <v>137</v>
      </c>
      <c r="D6" s="84" t="s">
        <v>11</v>
      </c>
      <c r="E6" s="84" t="s">
        <v>12</v>
      </c>
      <c r="F6" s="84" t="s">
        <v>13</v>
      </c>
      <c r="G6" s="96">
        <v>0.10100000000000001</v>
      </c>
      <c r="H6" s="97">
        <v>46168</v>
      </c>
    </row>
    <row r="7" spans="1:8" ht="15.75" x14ac:dyDescent="0.3">
      <c r="A7" s="84" t="s">
        <v>139</v>
      </c>
      <c r="B7" s="95" t="s">
        <v>127</v>
      </c>
      <c r="C7" s="84" t="s">
        <v>140</v>
      </c>
      <c r="D7" s="84" t="s">
        <v>11</v>
      </c>
      <c r="E7" s="84" t="s">
        <v>12</v>
      </c>
      <c r="F7" s="84" t="s">
        <v>13</v>
      </c>
      <c r="G7" s="96">
        <v>9.0999999999999998E-2</v>
      </c>
      <c r="H7" s="97">
        <v>46168</v>
      </c>
    </row>
    <row r="8" spans="1:8" ht="15.75" x14ac:dyDescent="0.3">
      <c r="A8" s="84" t="s">
        <v>142</v>
      </c>
      <c r="B8" s="95" t="s">
        <v>127</v>
      </c>
      <c r="C8" s="84" t="s">
        <v>143</v>
      </c>
      <c r="D8" s="84" t="s">
        <v>11</v>
      </c>
      <c r="E8" s="84" t="s">
        <v>12</v>
      </c>
      <c r="F8" s="84" t="s">
        <v>13</v>
      </c>
      <c r="G8" s="96">
        <v>7.2999999999999995E-2</v>
      </c>
      <c r="H8" s="97">
        <v>46168</v>
      </c>
    </row>
    <row r="9" spans="1:8" ht="15.75" x14ac:dyDescent="0.3">
      <c r="A9" s="84" t="s">
        <v>145</v>
      </c>
      <c r="B9" s="95" t="s">
        <v>127</v>
      </c>
      <c r="C9" s="84" t="s">
        <v>146</v>
      </c>
      <c r="D9" s="84" t="s">
        <v>11</v>
      </c>
      <c r="E9" s="84" t="s">
        <v>12</v>
      </c>
      <c r="F9" s="84" t="s">
        <v>13</v>
      </c>
      <c r="G9" s="96">
        <v>9.2999999999999999E-2</v>
      </c>
      <c r="H9" s="97">
        <v>46168</v>
      </c>
    </row>
    <row r="10" spans="1:8" ht="15.75" x14ac:dyDescent="0.3">
      <c r="A10" s="84" t="s">
        <v>148</v>
      </c>
      <c r="B10" s="95" t="s">
        <v>127</v>
      </c>
      <c r="C10" s="84" t="s">
        <v>149</v>
      </c>
      <c r="D10" s="84" t="s">
        <v>11</v>
      </c>
      <c r="E10" s="84" t="s">
        <v>12</v>
      </c>
      <c r="F10" s="84" t="s">
        <v>13</v>
      </c>
      <c r="G10" s="96">
        <v>8.1000000000000003E-2</v>
      </c>
      <c r="H10" s="97">
        <v>46168</v>
      </c>
    </row>
    <row r="11" spans="1:8" ht="15.75" x14ac:dyDescent="0.3">
      <c r="A11" s="84" t="s">
        <v>151</v>
      </c>
      <c r="B11" s="95" t="s">
        <v>127</v>
      </c>
      <c r="C11" s="84" t="s">
        <v>152</v>
      </c>
      <c r="D11" s="84" t="s">
        <v>11</v>
      </c>
      <c r="E11" s="84" t="s">
        <v>12</v>
      </c>
      <c r="F11" s="84" t="s">
        <v>13</v>
      </c>
      <c r="G11" s="96">
        <v>7.0999999999999994E-2</v>
      </c>
      <c r="H11" s="97">
        <v>46142</v>
      </c>
    </row>
    <row r="12" spans="1:8" ht="15.75" x14ac:dyDescent="0.3">
      <c r="A12" s="84" t="s">
        <v>154</v>
      </c>
      <c r="B12" s="95" t="s">
        <v>127</v>
      </c>
      <c r="C12" s="84" t="s">
        <v>155</v>
      </c>
      <c r="D12" s="84" t="s">
        <v>11</v>
      </c>
      <c r="E12" s="84" t="s">
        <v>12</v>
      </c>
      <c r="F12" s="84" t="s">
        <v>13</v>
      </c>
      <c r="G12" s="96">
        <v>6.8000000000000005E-2</v>
      </c>
      <c r="H12" s="97">
        <v>46142</v>
      </c>
    </row>
    <row r="13" spans="1:8" ht="15.75" x14ac:dyDescent="0.3">
      <c r="A13" s="84" t="s">
        <v>157</v>
      </c>
      <c r="B13" s="95" t="s">
        <v>127</v>
      </c>
      <c r="C13" s="84" t="s">
        <v>158</v>
      </c>
      <c r="D13" s="84" t="s">
        <v>11</v>
      </c>
      <c r="E13" s="84" t="s">
        <v>12</v>
      </c>
      <c r="F13" s="84" t="s">
        <v>13</v>
      </c>
      <c r="G13" s="96">
        <v>9.0999999999999998E-2</v>
      </c>
      <c r="H13" s="97">
        <v>46142</v>
      </c>
    </row>
    <row r="14" spans="1:8" ht="15.75" x14ac:dyDescent="0.3">
      <c r="A14" s="84" t="s">
        <v>160</v>
      </c>
      <c r="B14" s="95" t="s">
        <v>127</v>
      </c>
      <c r="C14" s="84" t="s">
        <v>161</v>
      </c>
      <c r="D14" s="84" t="s">
        <v>11</v>
      </c>
      <c r="E14" s="84" t="s">
        <v>12</v>
      </c>
      <c r="F14" s="84" t="s">
        <v>13</v>
      </c>
      <c r="G14" s="96">
        <v>9.2999999999999999E-2</v>
      </c>
      <c r="H14" s="97">
        <v>46142</v>
      </c>
    </row>
    <row r="15" spans="1:8" ht="15.75" x14ac:dyDescent="0.3">
      <c r="A15" s="84" t="s">
        <v>163</v>
      </c>
      <c r="B15" s="95" t="s">
        <v>127</v>
      </c>
      <c r="C15" s="84" t="s">
        <v>164</v>
      </c>
      <c r="D15" s="84" t="s">
        <v>11</v>
      </c>
      <c r="E15" s="84" t="s">
        <v>12</v>
      </c>
      <c r="F15" s="84" t="s">
        <v>13</v>
      </c>
      <c r="G15" s="96">
        <v>8.2000000000000003E-2</v>
      </c>
      <c r="H15" s="97">
        <v>46136</v>
      </c>
    </row>
    <row r="16" spans="1:8" ht="15.75" x14ac:dyDescent="0.3">
      <c r="A16" s="84" t="s">
        <v>166</v>
      </c>
      <c r="B16" s="95" t="s">
        <v>127</v>
      </c>
      <c r="C16" s="84" t="s">
        <v>167</v>
      </c>
      <c r="D16" s="84" t="s">
        <v>11</v>
      </c>
      <c r="E16" s="84" t="s">
        <v>12</v>
      </c>
      <c r="F16" s="84" t="s">
        <v>13</v>
      </c>
      <c r="G16" s="96">
        <v>0.223</v>
      </c>
      <c r="H16" s="97">
        <v>46136</v>
      </c>
    </row>
    <row r="17" spans="1:8" ht="15.75" x14ac:dyDescent="0.3">
      <c r="A17" s="84" t="s">
        <v>169</v>
      </c>
      <c r="B17" s="95" t="s">
        <v>127</v>
      </c>
      <c r="C17" s="84" t="s">
        <v>170</v>
      </c>
      <c r="D17" s="84" t="s">
        <v>11</v>
      </c>
      <c r="E17" s="84" t="s">
        <v>12</v>
      </c>
      <c r="F17" s="84" t="s">
        <v>13</v>
      </c>
      <c r="G17" s="96">
        <v>0.08</v>
      </c>
      <c r="H17" s="97">
        <v>46136</v>
      </c>
    </row>
    <row r="18" spans="1:8" ht="15.75" x14ac:dyDescent="0.3">
      <c r="A18" s="84" t="s">
        <v>172</v>
      </c>
      <c r="B18" s="95" t="s">
        <v>127</v>
      </c>
      <c r="C18" s="84" t="s">
        <v>173</v>
      </c>
      <c r="D18" s="84" t="s">
        <v>11</v>
      </c>
      <c r="E18" s="84" t="s">
        <v>12</v>
      </c>
      <c r="F18" s="84" t="s">
        <v>13</v>
      </c>
      <c r="G18" s="96">
        <v>7.0999999999999994E-2</v>
      </c>
      <c r="H18" s="97">
        <v>46168</v>
      </c>
    </row>
    <row r="19" spans="1:8" ht="15.75" x14ac:dyDescent="0.3">
      <c r="A19" s="84" t="s">
        <v>175</v>
      </c>
      <c r="B19" s="95" t="s">
        <v>127</v>
      </c>
      <c r="C19" s="84" t="s">
        <v>176</v>
      </c>
      <c r="D19" s="84" t="s">
        <v>11</v>
      </c>
      <c r="E19" s="84" t="s">
        <v>12</v>
      </c>
      <c r="F19" s="84" t="s">
        <v>13</v>
      </c>
      <c r="G19" s="96">
        <v>1.163</v>
      </c>
      <c r="H19" s="97">
        <v>46168</v>
      </c>
    </row>
    <row r="20" spans="1:8" ht="15.75" x14ac:dyDescent="0.3">
      <c r="A20" s="84" t="s">
        <v>178</v>
      </c>
      <c r="B20" s="95" t="s">
        <v>127</v>
      </c>
      <c r="C20" s="84" t="s">
        <v>179</v>
      </c>
      <c r="D20" s="84" t="s">
        <v>11</v>
      </c>
      <c r="E20" s="84" t="s">
        <v>12</v>
      </c>
      <c r="F20" s="84" t="s">
        <v>13</v>
      </c>
      <c r="G20" s="96">
        <v>7.5999999999999998E-2</v>
      </c>
      <c r="H20" s="97">
        <v>46168</v>
      </c>
    </row>
    <row r="21" spans="1:8" ht="15.75" x14ac:dyDescent="0.3">
      <c r="A21" s="96" t="s">
        <v>252</v>
      </c>
      <c r="B21" s="95" t="s">
        <v>127</v>
      </c>
      <c r="C21" s="84" t="s">
        <v>253</v>
      </c>
      <c r="D21" s="84" t="s">
        <v>11</v>
      </c>
      <c r="E21" s="84" t="s">
        <v>12</v>
      </c>
      <c r="F21" s="84" t="s">
        <v>254</v>
      </c>
      <c r="G21" s="96">
        <v>9.4E-2</v>
      </c>
      <c r="H21" s="97">
        <v>46171</v>
      </c>
    </row>
    <row r="22" spans="1:8" ht="15.75" x14ac:dyDescent="0.3">
      <c r="A22" s="96" t="s">
        <v>255</v>
      </c>
      <c r="B22" s="95" t="s">
        <v>127</v>
      </c>
      <c r="C22" s="84" t="s">
        <v>256</v>
      </c>
      <c r="D22" s="84" t="s">
        <v>11</v>
      </c>
      <c r="E22" s="84" t="s">
        <v>12</v>
      </c>
      <c r="F22" s="84" t="s">
        <v>257</v>
      </c>
      <c r="G22" s="96">
        <v>0.13100000000000001</v>
      </c>
      <c r="H22" s="97">
        <v>46136</v>
      </c>
    </row>
  </sheetData>
  <mergeCells count="1">
    <mergeCell ref="A1:H1"/>
  </mergeCells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Water meters </vt:lpstr>
      <vt:lpstr>Elec Meters</vt:lpstr>
      <vt:lpstr>Kiosk Plan</vt:lpstr>
      <vt:lpstr>Temp ME162 open and closings</vt:lpstr>
      <vt:lpstr>Elec Meters for invoicing</vt:lpstr>
      <vt:lpstr>Water Meters for invoicing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Aldre Fritz</dc:creator>
  <cp:keywords/>
  <dc:description/>
  <cp:lastModifiedBy>Ruan van Heerden</cp:lastModifiedBy>
  <cp:revision/>
  <dcterms:created xsi:type="dcterms:W3CDTF">2026-05-12T07:04:00Z</dcterms:created>
  <dcterms:modified xsi:type="dcterms:W3CDTF">2026-06-30T15:04:18Z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C3EE7A8DB56C4BA1986B1B7CD1F191ED_12</vt:lpwstr>
  </property>
  <property fmtid="{D5CDD505-2E9C-101B-9397-08002B2CF9AE}" pid="3" name="KSOProductBuildVer">
    <vt:lpwstr>2057-12.9.0.21549</vt:lpwstr>
  </property>
</Properties>
</file>